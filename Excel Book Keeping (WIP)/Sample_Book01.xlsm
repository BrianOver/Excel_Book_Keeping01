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Dropbox\Resume\Sample_Work\Excel Book Keeping (WIP)\"/>
    </mc:Choice>
  </mc:AlternateContent>
  <xr:revisionPtr revIDLastSave="0" documentId="10_ncr:100000_{F0AEA1DE-5E8C-4F77-867D-8947AF357CB3}" xr6:coauthVersionLast="31" xr6:coauthVersionMax="31" xr10:uidLastSave="{00000000-0000-0000-0000-000000000000}"/>
  <bookViews>
    <workbookView xWindow="0" yWindow="0" windowWidth="28800" windowHeight="12810" activeTab="4" xr2:uid="{663D4D6A-B3C5-4763-B507-974221B3674A}"/>
  </bookViews>
  <sheets>
    <sheet name="Book" sheetId="1" r:id="rId1"/>
    <sheet name="Explanations" sheetId="2" r:id="rId2"/>
    <sheet name="Year Analysis" sheetId="3" r:id="rId3"/>
    <sheet name="Jan 2019" sheetId="4" r:id="rId4"/>
    <sheet name="Feb 2019" sheetId="5" r:id="rId5"/>
    <sheet name="March 2019" sheetId="6" r:id="rId6"/>
    <sheet name="April 2019" sheetId="15" r:id="rId7"/>
    <sheet name="May 2019" sheetId="14" r:id="rId8"/>
    <sheet name="June 2019" sheetId="7" r:id="rId9"/>
    <sheet name="July 2019" sheetId="8" r:id="rId10"/>
    <sheet name="Aug 2019" sheetId="9" r:id="rId11"/>
    <sheet name="Sep 2019" sheetId="10" r:id="rId12"/>
    <sheet name="Oct 2019" sheetId="11" r:id="rId13"/>
    <sheet name="Nov 2019" sheetId="12" r:id="rId14"/>
    <sheet name="Dec 2019" sheetId="13" r:id="rId15"/>
  </sheets>
  <functionGroups builtInGroupCount="19"/>
  <definedNames>
    <definedName name="_xlnm._FilterDatabase" localSheetId="3" hidden="1">'Jan 2019'!$A$2:$J$62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6" i="4" l="1"/>
  <c r="L26" i="5"/>
  <c r="N13" i="4" l="1"/>
  <c r="N26" i="15" l="1"/>
  <c r="L26" i="15"/>
  <c r="L16" i="15"/>
  <c r="N13" i="15"/>
  <c r="L13" i="15"/>
  <c r="N7" i="15"/>
  <c r="L10" i="15" s="1"/>
  <c r="L19" i="15" s="1"/>
  <c r="L7" i="15"/>
  <c r="N26" i="14"/>
  <c r="L26" i="14"/>
  <c r="N13" i="14"/>
  <c r="L16" i="14" s="1"/>
  <c r="L13" i="14"/>
  <c r="N7" i="14"/>
  <c r="L10" i="14" s="1"/>
  <c r="L19" i="14" s="1"/>
  <c r="L7" i="14"/>
  <c r="N26" i="13"/>
  <c r="L26" i="13"/>
  <c r="N13" i="13"/>
  <c r="L16" i="13" s="1"/>
  <c r="L13" i="13"/>
  <c r="N7" i="13"/>
  <c r="L10" i="13" s="1"/>
  <c r="L19" i="13" s="1"/>
  <c r="L7" i="13"/>
  <c r="N26" i="12"/>
  <c r="L26" i="12"/>
  <c r="N13" i="12"/>
  <c r="L16" i="12" s="1"/>
  <c r="L13" i="12"/>
  <c r="N7" i="12"/>
  <c r="L10" i="12" s="1"/>
  <c r="L19" i="12" s="1"/>
  <c r="L7" i="12"/>
  <c r="N26" i="11"/>
  <c r="L26" i="11"/>
  <c r="N13" i="11"/>
  <c r="L16" i="11" s="1"/>
  <c r="L13" i="11"/>
  <c r="N7" i="11"/>
  <c r="L10" i="11" s="1"/>
  <c r="L19" i="11" s="1"/>
  <c r="L7" i="11"/>
  <c r="N26" i="10"/>
  <c r="L26" i="10"/>
  <c r="N13" i="10"/>
  <c r="L16" i="10" s="1"/>
  <c r="L13" i="10"/>
  <c r="N7" i="10"/>
  <c r="L10" i="10" s="1"/>
  <c r="L19" i="10" s="1"/>
  <c r="L7" i="10"/>
  <c r="N26" i="9"/>
  <c r="L26" i="9"/>
  <c r="N13" i="9"/>
  <c r="L16" i="9" s="1"/>
  <c r="L13" i="9"/>
  <c r="N7" i="9"/>
  <c r="L10" i="9" s="1"/>
  <c r="L19" i="9" s="1"/>
  <c r="L7" i="9"/>
  <c r="N26" i="8"/>
  <c r="L26" i="8"/>
  <c r="N13" i="8"/>
  <c r="L16" i="8" s="1"/>
  <c r="L13" i="8"/>
  <c r="N7" i="8"/>
  <c r="L10" i="8" s="1"/>
  <c r="L19" i="8" s="1"/>
  <c r="L7" i="8"/>
  <c r="N26" i="7"/>
  <c r="L26" i="7"/>
  <c r="N13" i="7"/>
  <c r="L16" i="7" s="1"/>
  <c r="L13" i="7"/>
  <c r="N7" i="7"/>
  <c r="L10" i="7" s="1"/>
  <c r="L19" i="7" s="1"/>
  <c r="L7" i="7"/>
  <c r="N26" i="6"/>
  <c r="L26" i="6"/>
  <c r="N13" i="6"/>
  <c r="L16" i="6" s="1"/>
  <c r="L13" i="6"/>
  <c r="N7" i="6"/>
  <c r="L10" i="6" s="1"/>
  <c r="L19" i="6" s="1"/>
  <c r="L7" i="6"/>
  <c r="N26" i="5"/>
  <c r="N13" i="5"/>
  <c r="L13" i="5"/>
  <c r="N7" i="5"/>
  <c r="L7" i="5"/>
  <c r="N26" i="4"/>
  <c r="L13" i="4"/>
  <c r="L16" i="4" s="1"/>
  <c r="N7" i="4"/>
  <c r="L7" i="4"/>
  <c r="L16" i="5" l="1"/>
  <c r="L10" i="5"/>
  <c r="L10" i="4"/>
  <c r="L19" i="4" s="1"/>
  <c r="L19" i="5" l="1"/>
</calcChain>
</file>

<file path=xl/sharedStrings.xml><?xml version="1.0" encoding="utf-8"?>
<sst xmlns="http://schemas.openxmlformats.org/spreadsheetml/2006/main" count="1042" uniqueCount="132">
  <si>
    <t>Sample Book for Personal Finances</t>
  </si>
  <si>
    <t>By</t>
  </si>
  <si>
    <t>Brian Over</t>
  </si>
  <si>
    <t>Year 2019</t>
  </si>
  <si>
    <t>Jan</t>
  </si>
  <si>
    <t>Feb</t>
  </si>
  <si>
    <t>March</t>
  </si>
  <si>
    <t>April</t>
  </si>
  <si>
    <t>May</t>
  </si>
  <si>
    <t>June</t>
  </si>
  <si>
    <t>July</t>
  </si>
  <si>
    <t>Aug</t>
  </si>
  <si>
    <t>Sep</t>
  </si>
  <si>
    <t>Oct</t>
  </si>
  <si>
    <t>Nov</t>
  </si>
  <si>
    <t>Dec</t>
  </si>
  <si>
    <t>Months:</t>
  </si>
  <si>
    <t>Note:</t>
  </si>
  <si>
    <t>This book is using a piece of code that I designed to daily randomly generate numbers to enter into the book</t>
  </si>
  <si>
    <t>Description</t>
  </si>
  <si>
    <t>Day</t>
  </si>
  <si>
    <t>Year</t>
  </si>
  <si>
    <t>In/Out/T/C</t>
  </si>
  <si>
    <t>Type</t>
  </si>
  <si>
    <t>Amount $</t>
  </si>
  <si>
    <t>Reason</t>
  </si>
  <si>
    <t>Account Out</t>
  </si>
  <si>
    <t>Account In</t>
  </si>
  <si>
    <t>Month</t>
  </si>
  <si>
    <t>What each category means:</t>
  </si>
  <si>
    <r>
      <rPr>
        <b/>
        <sz val="11"/>
        <color theme="1"/>
        <rFont val="Calibri"/>
        <family val="2"/>
        <scheme val="minor"/>
      </rPr>
      <t>Description:</t>
    </r>
    <r>
      <rPr>
        <sz val="11"/>
        <color theme="1"/>
        <rFont val="Calibri"/>
        <family val="2"/>
        <scheme val="minor"/>
      </rPr>
      <t xml:space="preserve"> What the charge is (What it's for + location/business)</t>
    </r>
  </si>
  <si>
    <r>
      <rPr>
        <b/>
        <sz val="11"/>
        <color theme="1"/>
        <rFont val="Calibri"/>
        <family val="2"/>
        <scheme val="minor"/>
      </rPr>
      <t>Day:</t>
    </r>
    <r>
      <rPr>
        <sz val="11"/>
        <color theme="1"/>
        <rFont val="Calibri"/>
        <family val="2"/>
        <scheme val="minor"/>
      </rPr>
      <t xml:space="preserve"> What day the charge occured</t>
    </r>
  </si>
  <si>
    <r>
      <rPr>
        <b/>
        <sz val="11"/>
        <color theme="1"/>
        <rFont val="Calibri"/>
        <family val="2"/>
        <scheme val="minor"/>
      </rPr>
      <t>Year:</t>
    </r>
    <r>
      <rPr>
        <sz val="11"/>
        <color theme="1"/>
        <rFont val="Calibri"/>
        <family val="2"/>
        <scheme val="minor"/>
      </rPr>
      <t xml:space="preserve"> What year the charge occured</t>
    </r>
  </si>
  <si>
    <r>
      <rPr>
        <b/>
        <sz val="11"/>
        <color theme="1"/>
        <rFont val="Calibri"/>
        <family val="2"/>
        <scheme val="minor"/>
      </rPr>
      <t>In/Out/T/C</t>
    </r>
    <r>
      <rPr>
        <sz val="11"/>
        <color theme="1"/>
        <rFont val="Calibri"/>
        <family val="2"/>
        <scheme val="minor"/>
      </rPr>
      <t>: Was the charge inbound, outbound, a transfer (Neutral), or a Credit charge</t>
    </r>
  </si>
  <si>
    <r>
      <rPr>
        <b/>
        <sz val="11"/>
        <color theme="1"/>
        <rFont val="Calibri"/>
        <family val="2"/>
        <scheme val="minor"/>
      </rPr>
      <t>Amount:</t>
    </r>
    <r>
      <rPr>
        <sz val="11"/>
        <color theme="1"/>
        <rFont val="Calibri"/>
        <family val="2"/>
        <scheme val="minor"/>
      </rPr>
      <t xml:space="preserve"> Amount paid in $</t>
    </r>
  </si>
  <si>
    <r>
      <rPr>
        <b/>
        <sz val="11"/>
        <color theme="1"/>
        <rFont val="Calibri"/>
        <family val="2"/>
        <scheme val="minor"/>
      </rPr>
      <t>Account Out</t>
    </r>
    <r>
      <rPr>
        <sz val="11"/>
        <color theme="1"/>
        <rFont val="Calibri"/>
        <family val="2"/>
        <scheme val="minor"/>
      </rPr>
      <t>: If Out or T, which account its leaving</t>
    </r>
  </si>
  <si>
    <r>
      <rPr>
        <b/>
        <sz val="11"/>
        <color theme="1"/>
        <rFont val="Calibri"/>
        <family val="2"/>
        <scheme val="minor"/>
      </rPr>
      <t>Account In</t>
    </r>
    <r>
      <rPr>
        <sz val="11"/>
        <color theme="1"/>
        <rFont val="Calibri"/>
        <family val="2"/>
        <scheme val="minor"/>
      </rPr>
      <t>: If In or T, which account its entering</t>
    </r>
  </si>
  <si>
    <t>Month of January 2019</t>
  </si>
  <si>
    <t>Amount Spent</t>
  </si>
  <si>
    <t>Amount Earned</t>
  </si>
  <si>
    <t>Month Total</t>
  </si>
  <si>
    <t>Credit Card Owed</t>
  </si>
  <si>
    <t>Credit Card Paid</t>
  </si>
  <si>
    <t>Credit Card Spent</t>
  </si>
  <si>
    <t>Checking Beginning</t>
  </si>
  <si>
    <t>Savings Beginning</t>
  </si>
  <si>
    <t>Checking End</t>
  </si>
  <si>
    <t>Savings End</t>
  </si>
  <si>
    <t>Month Total After Credit Card</t>
  </si>
  <si>
    <t>(As of 1/1/19)</t>
  </si>
  <si>
    <t>Month of February 2019</t>
  </si>
  <si>
    <t>Month of March 2019</t>
  </si>
  <si>
    <t>Month of June 2019</t>
  </si>
  <si>
    <t>Month of July 2019</t>
  </si>
  <si>
    <t>Month of August 2019</t>
  </si>
  <si>
    <t>Month of September 2019</t>
  </si>
  <si>
    <t>Month of October 2019</t>
  </si>
  <si>
    <t>Month of November 2019</t>
  </si>
  <si>
    <t>Month of December 2019</t>
  </si>
  <si>
    <t>Month of April 2019</t>
  </si>
  <si>
    <t>Month of May 2019</t>
  </si>
  <si>
    <t xml:space="preserve">My personal actual finances are not included </t>
  </si>
  <si>
    <t>Loss from Credit is reported when payment to that credit account is made</t>
  </si>
  <si>
    <t>Credit Purchases are NOT counted as Out when recorded</t>
  </si>
  <si>
    <r>
      <rPr>
        <b/>
        <sz val="11"/>
        <color theme="1"/>
        <rFont val="Calibri"/>
        <family val="2"/>
        <scheme val="minor"/>
      </rPr>
      <t>Month:</t>
    </r>
    <r>
      <rPr>
        <sz val="11"/>
        <color theme="1"/>
        <rFont val="Calibri"/>
        <family val="2"/>
        <scheme val="minor"/>
      </rPr>
      <t xml:space="preserve"> What Month the charge occurred</t>
    </r>
  </si>
  <si>
    <r>
      <t>Reason:</t>
    </r>
    <r>
      <rPr>
        <sz val="11"/>
        <color theme="1"/>
        <rFont val="Calibri"/>
        <family val="2"/>
        <scheme val="minor"/>
      </rPr>
      <t xml:space="preserve"> Simple reason for transaction</t>
    </r>
  </si>
  <si>
    <r>
      <rPr>
        <b/>
        <sz val="11"/>
        <color theme="1"/>
        <rFont val="Calibri"/>
        <family val="2"/>
        <scheme val="minor"/>
      </rPr>
      <t>Type:</t>
    </r>
    <r>
      <rPr>
        <sz val="11"/>
        <color theme="1"/>
        <rFont val="Calibri"/>
        <family val="2"/>
        <scheme val="minor"/>
      </rPr>
      <t xml:space="preserve"> What type of payment was used (Online Transfer, Debit c, Credit c, Deposit, Cash, Check)</t>
    </r>
  </si>
  <si>
    <t>Year of 2019</t>
  </si>
  <si>
    <t>Taco Bell - Food</t>
  </si>
  <si>
    <t>C</t>
  </si>
  <si>
    <t>Credit</t>
  </si>
  <si>
    <t>Food</t>
  </si>
  <si>
    <t xml:space="preserve"> </t>
  </si>
  <si>
    <t>Sam's Club - Gas</t>
  </si>
  <si>
    <t>Out</t>
  </si>
  <si>
    <t>Cash</t>
  </si>
  <si>
    <t>Checking</t>
  </si>
  <si>
    <t>Bills</t>
  </si>
  <si>
    <t>Money from Family</t>
  </si>
  <si>
    <t>In</t>
  </si>
  <si>
    <t>Deposit</t>
  </si>
  <si>
    <t>Gift</t>
  </si>
  <si>
    <t>Debit</t>
  </si>
  <si>
    <t>WOW - Video Game</t>
  </si>
  <si>
    <t>Fun</t>
  </si>
  <si>
    <t>Work Pay</t>
  </si>
  <si>
    <t>Credit Card - Payment</t>
  </si>
  <si>
    <t>Transfer</t>
  </si>
  <si>
    <t>Savings</t>
  </si>
  <si>
    <t>Groceries</t>
  </si>
  <si>
    <t>Check</t>
  </si>
  <si>
    <t>Transfer To Checking</t>
  </si>
  <si>
    <t>T</t>
  </si>
  <si>
    <t>Spending Money</t>
  </si>
  <si>
    <t>Reliant - Bill</t>
  </si>
  <si>
    <t>Steam - Video Game</t>
  </si>
  <si>
    <t>Five Below - Groceries</t>
  </si>
  <si>
    <t>Star - Girl</t>
  </si>
  <si>
    <t>Repair - Car</t>
  </si>
  <si>
    <t>Target - Groceries</t>
  </si>
  <si>
    <t>Apartment - Bill</t>
  </si>
  <si>
    <t>QT - Gas</t>
  </si>
  <si>
    <t>Kroger - Groceries</t>
  </si>
  <si>
    <t>Accident - Car</t>
  </si>
  <si>
    <t>HBO - Bill</t>
  </si>
  <si>
    <t>Ramen - Food</t>
  </si>
  <si>
    <t>Texco - Gas</t>
  </si>
  <si>
    <t>Walmart - Groceries</t>
  </si>
  <si>
    <t>Dominos' - Food</t>
  </si>
  <si>
    <t>RaceTrack - Gas</t>
  </si>
  <si>
    <t>Gas</t>
  </si>
  <si>
    <t>Credit Card Payment</t>
  </si>
  <si>
    <t>Humble Bundle - Video Game</t>
  </si>
  <si>
    <t>Chinnese - Food</t>
  </si>
  <si>
    <t>Dollar Shave Club - Groceries</t>
  </si>
  <si>
    <t>Amazon - Groceries</t>
  </si>
  <si>
    <t>Wendy's - Food</t>
  </si>
  <si>
    <t>Netflex - Bill</t>
  </si>
  <si>
    <t>Transfer To Savings</t>
  </si>
  <si>
    <t>Savings Money</t>
  </si>
  <si>
    <t>Breanna - Girl</t>
  </si>
  <si>
    <t>Girl</t>
  </si>
  <si>
    <t>Origen - Video Game</t>
  </si>
  <si>
    <t>Papa John's - Food</t>
  </si>
  <si>
    <t>Car Wash - Car</t>
  </si>
  <si>
    <t>League of Legends - Video Game</t>
  </si>
  <si>
    <t>GOG - Video Game</t>
  </si>
  <si>
    <t>Dollar General - Groceries</t>
  </si>
  <si>
    <t>Mcdonalds - Food</t>
  </si>
  <si>
    <t>NRG - Bill</t>
  </si>
  <si>
    <t>Tires - Car</t>
  </si>
  <si>
    <t>Sora - Girl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</si>
</sst>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2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44" fontId="0" fillId="0" borderId="0" xfId="1" applyFont="1"/>
    <xf numFmtId="0" fontId="3" fillId="0" borderId="0" xfId="0" applyFont="1"/>
    <xf numFmtId="0" fontId="0" fillId="0" borderId="0" xfId="0" applyFont="1"/>
    <xf numFmtId="0" fontId="4" fillId="0" borderId="0" xfId="0" applyFont="1"/>
    <xf numFmtId="0" fontId="5" fillId="0" borderId="0" xfId="0" applyNumberFormat="1" applyFont="1" applyAlignment="1">
      <alignment horizontal="left"/>
    </xf>
    <xf numFmtId="0" fontId="6" fillId="0" borderId="0" xfId="2"/>
    <xf numFmtId="0" fontId="7" fillId="0" borderId="0" xfId="0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78608-5CEC-43B1-A80F-A393AB4332D0}">
  <sheetPr codeName="Sheet1"/>
  <dimension ref="A1:M14"/>
  <sheetViews>
    <sheetView workbookViewId="0">
      <selection activeCell="C7" sqref="C7"/>
    </sheetView>
  </sheetViews>
  <sheetFormatPr defaultRowHeight="15" x14ac:dyDescent="0.25"/>
  <cols>
    <col min="1" max="1" width="14.42578125" customWidth="1"/>
  </cols>
  <sheetData>
    <row r="1" spans="1:13" ht="46.5" x14ac:dyDescent="0.7">
      <c r="A1" s="1" t="s">
        <v>0</v>
      </c>
    </row>
    <row r="3" spans="1:13" x14ac:dyDescent="0.25">
      <c r="A3" t="s">
        <v>1</v>
      </c>
    </row>
    <row r="4" spans="1:13" x14ac:dyDescent="0.25">
      <c r="A4" t="s">
        <v>2</v>
      </c>
    </row>
    <row r="6" spans="1:13" x14ac:dyDescent="0.25">
      <c r="A6" t="s">
        <v>3</v>
      </c>
    </row>
    <row r="7" spans="1:13" x14ac:dyDescent="0.25">
      <c r="A7" t="s">
        <v>16</v>
      </c>
      <c r="B7" s="7" t="s">
        <v>4</v>
      </c>
      <c r="C7" s="7" t="s">
        <v>5</v>
      </c>
      <c r="D7" s="7" t="s">
        <v>6</v>
      </c>
      <c r="E7" s="7" t="s">
        <v>7</v>
      </c>
      <c r="F7" s="7" t="s">
        <v>8</v>
      </c>
      <c r="G7" s="7" t="s">
        <v>9</v>
      </c>
      <c r="H7" s="7" t="s">
        <v>10</v>
      </c>
      <c r="I7" s="7" t="s">
        <v>11</v>
      </c>
      <c r="J7" s="7" t="s">
        <v>12</v>
      </c>
      <c r="K7" s="7" t="s">
        <v>13</v>
      </c>
      <c r="L7" s="7" t="s">
        <v>14</v>
      </c>
      <c r="M7" s="7" t="s">
        <v>15</v>
      </c>
    </row>
    <row r="12" spans="1:13" x14ac:dyDescent="0.25">
      <c r="A12" t="s">
        <v>17</v>
      </c>
    </row>
    <row r="13" spans="1:13" x14ac:dyDescent="0.25">
      <c r="A13" t="s">
        <v>18</v>
      </c>
    </row>
    <row r="14" spans="1:13" x14ac:dyDescent="0.25">
      <c r="A14" t="s">
        <v>61</v>
      </c>
    </row>
  </sheetData>
  <hyperlinks>
    <hyperlink ref="B7" location="'Jan 2019'!A1" display="Jan" xr:uid="{91DB4670-D068-4319-A941-F1585E1DD758}"/>
    <hyperlink ref="C7" location="'Feb 2019'!A1" display="Feb" xr:uid="{5EF209A7-A995-4914-9490-277475A4E27A}"/>
    <hyperlink ref="D7" location="'March 2019'!A1" display="March" xr:uid="{93BCC7C9-6812-49DB-AB91-58416A2D0649}"/>
    <hyperlink ref="E7" location="'April 2019'!A1" display="April" xr:uid="{DD084C31-5228-4820-AA95-D351FB6A246D}"/>
    <hyperlink ref="F7" location="'May 2019'!A1" display="May" xr:uid="{E27B5942-D441-43E7-963F-EB5CDD7D962D}"/>
    <hyperlink ref="G7" location="'June 2019'!A1" display="June" xr:uid="{AFC7C7F7-C24E-4E66-945C-B786D30D4526}"/>
    <hyperlink ref="H7" location="'July 2019'!A1" display="July" xr:uid="{CF204E55-707A-49EC-B684-F60376C82F97}"/>
    <hyperlink ref="I7" location="'Aug 2019'!A1" display="Aug" xr:uid="{06F767FD-658E-4D4C-88C5-50C75E5555A0}"/>
    <hyperlink ref="J7" location="'Sep 2019'!A1" display="Sep" xr:uid="{D07695B8-A9D5-440F-A811-6584FD7DE35A}"/>
    <hyperlink ref="K7" location="'Oct 2019'!A1" display="Oct" xr:uid="{8B277F86-0803-4087-BC14-DBB73C7F6202}"/>
    <hyperlink ref="L7" location="'Nov 2019'!A1" display="Nov" xr:uid="{456F255B-9F1E-4433-B176-C4C97B512C0D}"/>
    <hyperlink ref="M7" location="'December 2019'!A1" display="Dec" xr:uid="{809E3AC9-88B5-4A5A-B62B-A12BEABA61E3}"/>
  </hyperlink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5F55B-743C-4666-BBEC-4506921463C0}">
  <sheetPr codeName="Sheet2"/>
  <dimension ref="A1:A15"/>
  <sheetViews>
    <sheetView topLeftCell="A4" workbookViewId="0">
      <selection activeCell="J10" sqref="J10"/>
    </sheetView>
  </sheetViews>
  <sheetFormatPr defaultRowHeight="15" x14ac:dyDescent="0.25"/>
  <cols>
    <col min="1" max="1" width="24" customWidth="1"/>
  </cols>
  <sheetData>
    <row r="1" spans="1:1" x14ac:dyDescent="0.25">
      <c r="A1" s="5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64</v>
      </c>
    </row>
    <row r="6" spans="1:1" x14ac:dyDescent="0.25">
      <c r="A6" t="s">
        <v>32</v>
      </c>
    </row>
    <row r="7" spans="1:1" x14ac:dyDescent="0.25">
      <c r="A7" t="s">
        <v>33</v>
      </c>
    </row>
    <row r="8" spans="1:1" x14ac:dyDescent="0.25">
      <c r="A8" t="s">
        <v>66</v>
      </c>
    </row>
    <row r="9" spans="1:1" x14ac:dyDescent="0.25">
      <c r="A9" t="s">
        <v>34</v>
      </c>
    </row>
    <row r="10" spans="1:1" x14ac:dyDescent="0.25">
      <c r="A10" s="3" t="s">
        <v>65</v>
      </c>
    </row>
    <row r="11" spans="1:1" x14ac:dyDescent="0.25">
      <c r="A11" t="s">
        <v>35</v>
      </c>
    </row>
    <row r="12" spans="1:1" x14ac:dyDescent="0.25">
      <c r="A12" t="s">
        <v>36</v>
      </c>
    </row>
    <row r="14" spans="1:1" x14ac:dyDescent="0.25">
      <c r="A14" t="s">
        <v>63</v>
      </c>
    </row>
    <row r="15" spans="1:1" x14ac:dyDescent="0.25">
      <c r="A15" t="s">
        <v>62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4A534-1612-41D5-BDF7-1EE96FA61CCA}">
  <sheetPr codeName="Sheet3"/>
  <dimension ref="A1:J31"/>
  <sheetViews>
    <sheetView zoomScaleNormal="100" workbookViewId="0">
      <selection activeCell="C6" sqref="C6"/>
    </sheetView>
  </sheetViews>
  <sheetFormatPr defaultRowHeight="15" x14ac:dyDescent="0.25"/>
  <cols>
    <col min="1" max="1" width="26.7109375" customWidth="1"/>
    <col min="2" max="2" width="4.28515625" customWidth="1"/>
    <col min="3" max="3" width="7.42578125" customWidth="1"/>
    <col min="4" max="4" width="5.28515625" customWidth="1"/>
    <col min="5" max="5" width="11.28515625" customWidth="1"/>
    <col min="7" max="7" width="9.7109375" customWidth="1"/>
    <col min="9" max="9" width="11.85546875" customWidth="1"/>
    <col min="10" max="10" width="11.7109375" customWidth="1"/>
  </cols>
  <sheetData>
    <row r="1" spans="1:10" ht="28.5" x14ac:dyDescent="0.45">
      <c r="A1" s="8" t="s">
        <v>67</v>
      </c>
    </row>
    <row r="2" spans="1:10" x14ac:dyDescent="0.25">
      <c r="A2" s="3" t="s">
        <v>19</v>
      </c>
      <c r="B2" s="3" t="s">
        <v>20</v>
      </c>
      <c r="C2" s="3" t="s">
        <v>28</v>
      </c>
      <c r="D2" s="3" t="s">
        <v>21</v>
      </c>
      <c r="E2" s="3" t="s">
        <v>22</v>
      </c>
      <c r="F2" s="3" t="s">
        <v>23</v>
      </c>
      <c r="G2" s="3" t="s">
        <v>24</v>
      </c>
      <c r="H2" s="3" t="s">
        <v>25</v>
      </c>
      <c r="I2" s="3" t="s">
        <v>26</v>
      </c>
      <c r="J2" s="3" t="s">
        <v>27</v>
      </c>
    </row>
    <row r="3" spans="1:10" x14ac:dyDescent="0.25">
      <c r="G3" s="2"/>
    </row>
    <row r="4" spans="1:10" x14ac:dyDescent="0.25">
      <c r="G4" s="2"/>
    </row>
    <row r="5" spans="1:10" x14ac:dyDescent="0.25">
      <c r="G5" s="2"/>
    </row>
    <row r="6" spans="1:10" x14ac:dyDescent="0.25">
      <c r="G6" s="2"/>
    </row>
    <row r="7" spans="1:10" x14ac:dyDescent="0.25">
      <c r="G7" s="2"/>
    </row>
    <row r="8" spans="1:10" x14ac:dyDescent="0.25">
      <c r="G8" s="2"/>
    </row>
    <row r="9" spans="1:10" x14ac:dyDescent="0.25">
      <c r="G9" s="2"/>
    </row>
    <row r="10" spans="1:10" x14ac:dyDescent="0.25">
      <c r="G10" s="2"/>
    </row>
    <row r="11" spans="1:10" x14ac:dyDescent="0.25">
      <c r="G11" s="2"/>
    </row>
    <row r="12" spans="1:10" x14ac:dyDescent="0.25">
      <c r="G12" s="2"/>
    </row>
    <row r="13" spans="1:10" x14ac:dyDescent="0.25">
      <c r="G13" s="2"/>
    </row>
    <row r="14" spans="1:10" x14ac:dyDescent="0.25">
      <c r="G14" s="2"/>
    </row>
    <row r="15" spans="1:10" x14ac:dyDescent="0.25">
      <c r="G15" s="2"/>
    </row>
    <row r="16" spans="1:10" x14ac:dyDescent="0.25">
      <c r="G16" s="2"/>
    </row>
    <row r="17" spans="7:7" x14ac:dyDescent="0.25">
      <c r="G17" s="2"/>
    </row>
    <row r="18" spans="7:7" x14ac:dyDescent="0.25">
      <c r="G18" s="2"/>
    </row>
    <row r="19" spans="7:7" x14ac:dyDescent="0.25">
      <c r="G19" s="2"/>
    </row>
    <row r="20" spans="7:7" x14ac:dyDescent="0.25">
      <c r="G20" s="2"/>
    </row>
    <row r="21" spans="7:7" x14ac:dyDescent="0.25">
      <c r="G21" s="2"/>
    </row>
    <row r="22" spans="7:7" x14ac:dyDescent="0.25">
      <c r="G22" s="2"/>
    </row>
    <row r="23" spans="7:7" x14ac:dyDescent="0.25">
      <c r="G23" s="2"/>
    </row>
    <row r="24" spans="7:7" x14ac:dyDescent="0.25">
      <c r="G24" s="2"/>
    </row>
    <row r="25" spans="7:7" x14ac:dyDescent="0.25">
      <c r="G25" s="2"/>
    </row>
    <row r="26" spans="7:7" x14ac:dyDescent="0.25">
      <c r="G26" s="2"/>
    </row>
    <row r="27" spans="7:7" x14ac:dyDescent="0.25">
      <c r="G27" s="2"/>
    </row>
    <row r="28" spans="7:7" x14ac:dyDescent="0.25">
      <c r="G28" s="2"/>
    </row>
    <row r="29" spans="7:7" x14ac:dyDescent="0.25">
      <c r="G29" s="2"/>
    </row>
    <row r="30" spans="7:7" x14ac:dyDescent="0.25">
      <c r="G30" s="2"/>
    </row>
    <row r="31" spans="7:7" x14ac:dyDescent="0.25">
      <c r="G31" s="2"/>
    </row>
  </sheetData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B4C09-2F34-419E-9369-6AD720BE91C6}">
  <sheetPr codeName="Sheet4"/>
  <dimension ref="A1:N130"/>
  <sheetViews>
    <sheetView zoomScale="85" zoomScaleNormal="85" workbookViewId="0">
      <selection activeCell="L29" sqref="L29"/>
    </sheetView>
  </sheetViews>
  <sheetFormatPr defaultRowHeight="15" x14ac:dyDescent="0.25"/>
  <cols>
    <col min="1" max="1" width="36" bestFit="1" customWidth="1"/>
    <col min="2" max="2" width="6" customWidth="1"/>
    <col min="3" max="3" width="7.42578125" customWidth="1"/>
    <col min="4" max="4" width="6.140625" customWidth="1"/>
    <col min="5" max="5" width="12.85546875" customWidth="1"/>
    <col min="6" max="6" width="9.28515625" customWidth="1"/>
    <col min="7" max="7" width="14.5703125" customWidth="1"/>
    <col min="8" max="8" width="12.28515625" customWidth="1"/>
    <col min="9" max="9" width="15.5703125" customWidth="1"/>
    <col min="10" max="10" width="11.7109375" customWidth="1"/>
    <col min="12" max="12" width="16.140625" customWidth="1"/>
    <col min="13" max="13" width="11.7109375" customWidth="1"/>
    <col min="14" max="14" width="19.42578125" customWidth="1"/>
  </cols>
  <sheetData>
    <row r="1" spans="1:14" ht="23.25" x14ac:dyDescent="0.35">
      <c r="A1" s="6" t="s">
        <v>37</v>
      </c>
    </row>
    <row r="2" spans="1:14" x14ac:dyDescent="0.25">
      <c r="A2" s="3" t="s">
        <v>19</v>
      </c>
      <c r="B2" s="3" t="s">
        <v>20</v>
      </c>
      <c r="C2" s="3" t="s">
        <v>28</v>
      </c>
      <c r="D2" s="3" t="s">
        <v>21</v>
      </c>
      <c r="E2" s="3" t="s">
        <v>22</v>
      </c>
      <c r="F2" s="3" t="s">
        <v>23</v>
      </c>
      <c r="G2" s="3" t="s">
        <v>24</v>
      </c>
      <c r="H2" s="3" t="s">
        <v>25</v>
      </c>
      <c r="I2" s="3" t="s">
        <v>26</v>
      </c>
      <c r="J2" s="3" t="s">
        <v>27</v>
      </c>
    </row>
    <row r="3" spans="1:14" x14ac:dyDescent="0.25">
      <c r="A3" t="s">
        <v>91</v>
      </c>
      <c r="B3">
        <v>7</v>
      </c>
      <c r="C3">
        <v>11</v>
      </c>
      <c r="D3">
        <v>2018</v>
      </c>
      <c r="E3" t="s">
        <v>92</v>
      </c>
      <c r="F3" t="s">
        <v>87</v>
      </c>
      <c r="G3" s="2">
        <v>325</v>
      </c>
      <c r="H3" t="s">
        <v>93</v>
      </c>
      <c r="I3" t="s">
        <v>88</v>
      </c>
      <c r="J3" t="s">
        <v>76</v>
      </c>
    </row>
    <row r="4" spans="1:14" x14ac:dyDescent="0.25">
      <c r="A4" t="s">
        <v>85</v>
      </c>
      <c r="B4">
        <v>7</v>
      </c>
      <c r="C4">
        <v>11</v>
      </c>
      <c r="D4">
        <v>2018</v>
      </c>
      <c r="E4" t="s">
        <v>79</v>
      </c>
      <c r="F4" t="s">
        <v>80</v>
      </c>
      <c r="G4" s="2">
        <v>8086</v>
      </c>
      <c r="H4" t="s">
        <v>85</v>
      </c>
      <c r="I4" t="s">
        <v>72</v>
      </c>
      <c r="J4" t="s">
        <v>88</v>
      </c>
    </row>
    <row r="5" spans="1:14" x14ac:dyDescent="0.25">
      <c r="A5" t="s">
        <v>83</v>
      </c>
      <c r="B5">
        <v>7</v>
      </c>
      <c r="C5">
        <v>11</v>
      </c>
      <c r="D5">
        <v>2018</v>
      </c>
      <c r="E5" t="s">
        <v>69</v>
      </c>
      <c r="F5" t="s">
        <v>70</v>
      </c>
      <c r="G5" s="2">
        <v>21</v>
      </c>
      <c r="H5" t="s">
        <v>84</v>
      </c>
      <c r="I5" t="s">
        <v>72</v>
      </c>
      <c r="J5" t="s">
        <v>72</v>
      </c>
    </row>
    <row r="6" spans="1:14" x14ac:dyDescent="0.25">
      <c r="A6" t="s">
        <v>94</v>
      </c>
      <c r="B6">
        <v>7</v>
      </c>
      <c r="C6">
        <v>11</v>
      </c>
      <c r="D6">
        <v>2018</v>
      </c>
      <c r="E6" t="s">
        <v>74</v>
      </c>
      <c r="F6" t="s">
        <v>82</v>
      </c>
      <c r="G6" s="2">
        <v>116</v>
      </c>
      <c r="H6" t="s">
        <v>77</v>
      </c>
      <c r="I6" t="s">
        <v>76</v>
      </c>
      <c r="J6" t="s">
        <v>72</v>
      </c>
      <c r="L6" s="3" t="s">
        <v>38</v>
      </c>
      <c r="N6" s="3" t="s">
        <v>39</v>
      </c>
    </row>
    <row r="7" spans="1:14" x14ac:dyDescent="0.25">
      <c r="A7" t="s">
        <v>68</v>
      </c>
      <c r="B7">
        <v>7</v>
      </c>
      <c r="C7">
        <v>11</v>
      </c>
      <c r="D7">
        <v>2018</v>
      </c>
      <c r="E7" t="s">
        <v>69</v>
      </c>
      <c r="F7" t="s">
        <v>70</v>
      </c>
      <c r="G7" s="2">
        <v>4</v>
      </c>
      <c r="H7" t="s">
        <v>71</v>
      </c>
      <c r="I7" t="s">
        <v>72</v>
      </c>
      <c r="J7" t="s">
        <v>72</v>
      </c>
      <c r="L7" s="2">
        <f>SUMIF(E3:E86,"Out",G3:G86)</f>
        <v>7186</v>
      </c>
      <c r="N7" s="2">
        <f>SUMIF(E3:E106,"In",G3:G106)</f>
        <v>66610</v>
      </c>
    </row>
    <row r="8" spans="1:14" x14ac:dyDescent="0.25">
      <c r="A8" t="s">
        <v>73</v>
      </c>
      <c r="B8">
        <v>7</v>
      </c>
      <c r="C8">
        <v>11</v>
      </c>
      <c r="D8">
        <v>2018</v>
      </c>
      <c r="E8" t="s">
        <v>74</v>
      </c>
      <c r="F8" t="s">
        <v>87</v>
      </c>
      <c r="G8" s="2">
        <v>23</v>
      </c>
      <c r="H8" t="s">
        <v>76</v>
      </c>
      <c r="I8" t="s">
        <v>72</v>
      </c>
    </row>
    <row r="9" spans="1:14" x14ac:dyDescent="0.25">
      <c r="A9" t="s">
        <v>85</v>
      </c>
      <c r="B9">
        <v>7</v>
      </c>
      <c r="C9">
        <v>11</v>
      </c>
      <c r="D9">
        <v>2018</v>
      </c>
      <c r="E9" t="s">
        <v>79</v>
      </c>
      <c r="F9" t="s">
        <v>80</v>
      </c>
      <c r="G9" s="2">
        <v>9533</v>
      </c>
      <c r="H9" t="s">
        <v>85</v>
      </c>
      <c r="I9" t="s">
        <v>72</v>
      </c>
      <c r="J9" t="s">
        <v>76</v>
      </c>
      <c r="L9" s="3" t="s">
        <v>40</v>
      </c>
    </row>
    <row r="10" spans="1:14" x14ac:dyDescent="0.25">
      <c r="A10" t="s">
        <v>94</v>
      </c>
      <c r="B10">
        <v>7</v>
      </c>
      <c r="C10">
        <v>11</v>
      </c>
      <c r="D10">
        <v>2018</v>
      </c>
      <c r="E10" t="s">
        <v>74</v>
      </c>
      <c r="F10" t="s">
        <v>75</v>
      </c>
      <c r="G10" s="2">
        <v>59</v>
      </c>
      <c r="H10" t="s">
        <v>77</v>
      </c>
      <c r="I10" t="s">
        <v>76</v>
      </c>
      <c r="J10" t="s">
        <v>72</v>
      </c>
      <c r="L10" s="2">
        <f>N7-L7</f>
        <v>59424</v>
      </c>
    </row>
    <row r="11" spans="1:14" x14ac:dyDescent="0.25">
      <c r="A11" t="s">
        <v>91</v>
      </c>
      <c r="B11">
        <v>7</v>
      </c>
      <c r="C11">
        <v>11</v>
      </c>
      <c r="D11">
        <v>2018</v>
      </c>
      <c r="E11" t="s">
        <v>92</v>
      </c>
      <c r="F11" t="s">
        <v>87</v>
      </c>
      <c r="G11" s="2">
        <v>256</v>
      </c>
      <c r="H11" t="s">
        <v>93</v>
      </c>
      <c r="I11" t="s">
        <v>88</v>
      </c>
      <c r="J11" t="s">
        <v>76</v>
      </c>
    </row>
    <row r="12" spans="1:14" x14ac:dyDescent="0.25">
      <c r="A12" t="s">
        <v>91</v>
      </c>
      <c r="B12">
        <v>7</v>
      </c>
      <c r="C12">
        <v>11</v>
      </c>
      <c r="D12">
        <v>2018</v>
      </c>
      <c r="E12" t="s">
        <v>92</v>
      </c>
      <c r="F12" t="s">
        <v>87</v>
      </c>
      <c r="G12" s="2">
        <v>103</v>
      </c>
      <c r="H12" t="s">
        <v>93</v>
      </c>
      <c r="I12" t="s">
        <v>88</v>
      </c>
      <c r="J12" t="s">
        <v>76</v>
      </c>
      <c r="L12" s="3" t="s">
        <v>43</v>
      </c>
      <c r="N12" s="3" t="s">
        <v>42</v>
      </c>
    </row>
    <row r="13" spans="1:14" x14ac:dyDescent="0.25">
      <c r="A13" t="s">
        <v>85</v>
      </c>
      <c r="B13">
        <v>7</v>
      </c>
      <c r="C13">
        <v>11</v>
      </c>
      <c r="D13">
        <v>2018</v>
      </c>
      <c r="E13" t="s">
        <v>79</v>
      </c>
      <c r="F13" t="s">
        <v>80</v>
      </c>
      <c r="G13" s="2">
        <v>8395</v>
      </c>
      <c r="H13" t="s">
        <v>85</v>
      </c>
      <c r="I13" t="s">
        <v>72</v>
      </c>
      <c r="J13" t="s">
        <v>88</v>
      </c>
      <c r="L13" s="2">
        <f>SUMIF(E3:E80,"C",G3:G80)</f>
        <v>586</v>
      </c>
      <c r="N13" s="2">
        <f>SUMIF(A3:A166,"Credit Card - Payment",G3:G166)</f>
        <v>2076</v>
      </c>
    </row>
    <row r="14" spans="1:14" x14ac:dyDescent="0.25">
      <c r="A14" t="s">
        <v>83</v>
      </c>
      <c r="B14">
        <v>7</v>
      </c>
      <c r="C14">
        <v>11</v>
      </c>
      <c r="D14">
        <v>2018</v>
      </c>
      <c r="E14" t="s">
        <v>69</v>
      </c>
      <c r="F14" t="s">
        <v>70</v>
      </c>
      <c r="G14" s="2">
        <v>16</v>
      </c>
      <c r="H14" t="s">
        <v>84</v>
      </c>
    </row>
    <row r="15" spans="1:14" x14ac:dyDescent="0.25">
      <c r="A15" t="s">
        <v>86</v>
      </c>
      <c r="B15">
        <v>7</v>
      </c>
      <c r="C15">
        <v>11</v>
      </c>
      <c r="D15">
        <v>2018</v>
      </c>
      <c r="E15" t="s">
        <v>74</v>
      </c>
      <c r="F15" t="s">
        <v>87</v>
      </c>
      <c r="G15" s="2">
        <v>269</v>
      </c>
      <c r="H15" t="s">
        <v>111</v>
      </c>
      <c r="I15" t="s">
        <v>88</v>
      </c>
      <c r="L15" s="3" t="s">
        <v>41</v>
      </c>
    </row>
    <row r="16" spans="1:14" x14ac:dyDescent="0.25">
      <c r="A16" t="s">
        <v>95</v>
      </c>
      <c r="B16">
        <v>7</v>
      </c>
      <c r="C16">
        <v>11</v>
      </c>
      <c r="D16">
        <v>2018</v>
      </c>
      <c r="E16" t="s">
        <v>74</v>
      </c>
      <c r="F16" t="s">
        <v>82</v>
      </c>
      <c r="G16" s="2">
        <v>30</v>
      </c>
      <c r="H16" t="s">
        <v>84</v>
      </c>
      <c r="I16" t="s">
        <v>76</v>
      </c>
      <c r="K16" t="s">
        <v>72</v>
      </c>
      <c r="L16" s="2">
        <f>N13-L13</f>
        <v>1490</v>
      </c>
      <c r="N16" s="2"/>
    </row>
    <row r="17" spans="1:14" x14ac:dyDescent="0.25">
      <c r="A17" t="s">
        <v>86</v>
      </c>
      <c r="B17">
        <v>7</v>
      </c>
      <c r="C17">
        <v>11</v>
      </c>
      <c r="D17">
        <v>2018</v>
      </c>
      <c r="E17" t="s">
        <v>74</v>
      </c>
      <c r="F17" t="s">
        <v>87</v>
      </c>
      <c r="G17" s="2">
        <v>201</v>
      </c>
      <c r="H17" t="s">
        <v>111</v>
      </c>
      <c r="I17" t="s">
        <v>76</v>
      </c>
    </row>
    <row r="18" spans="1:14" x14ac:dyDescent="0.25">
      <c r="A18" t="s">
        <v>96</v>
      </c>
      <c r="B18">
        <v>7</v>
      </c>
      <c r="C18">
        <v>11</v>
      </c>
      <c r="D18">
        <v>2018</v>
      </c>
      <c r="E18" t="s">
        <v>69</v>
      </c>
      <c r="F18" t="s">
        <v>70</v>
      </c>
      <c r="G18" s="2">
        <v>52</v>
      </c>
      <c r="H18" t="s">
        <v>89</v>
      </c>
      <c r="I18" t="s">
        <v>72</v>
      </c>
      <c r="J18" t="s">
        <v>72</v>
      </c>
      <c r="L18" s="3" t="s">
        <v>48</v>
      </c>
    </row>
    <row r="19" spans="1:14" x14ac:dyDescent="0.25">
      <c r="A19" t="s">
        <v>91</v>
      </c>
      <c r="B19">
        <v>7</v>
      </c>
      <c r="C19">
        <v>11</v>
      </c>
      <c r="D19">
        <v>2018</v>
      </c>
      <c r="E19" t="s">
        <v>92</v>
      </c>
      <c r="F19" t="s">
        <v>87</v>
      </c>
      <c r="G19" s="2">
        <v>225</v>
      </c>
      <c r="H19" t="s">
        <v>93</v>
      </c>
      <c r="I19" t="s">
        <v>88</v>
      </c>
      <c r="J19" t="s">
        <v>76</v>
      </c>
      <c r="L19" s="2">
        <f>L10+L16</f>
        <v>60914</v>
      </c>
    </row>
    <row r="20" spans="1:14" x14ac:dyDescent="0.25">
      <c r="A20" t="s">
        <v>97</v>
      </c>
      <c r="B20">
        <v>7</v>
      </c>
      <c r="C20">
        <v>11</v>
      </c>
      <c r="D20">
        <v>2018</v>
      </c>
      <c r="E20" t="s">
        <v>74</v>
      </c>
      <c r="F20" t="s">
        <v>87</v>
      </c>
      <c r="G20" s="2">
        <v>19</v>
      </c>
      <c r="H20" t="s">
        <v>76</v>
      </c>
      <c r="I20" t="s">
        <v>72</v>
      </c>
    </row>
    <row r="21" spans="1:14" x14ac:dyDescent="0.25">
      <c r="A21" t="s">
        <v>73</v>
      </c>
      <c r="B21">
        <v>7</v>
      </c>
      <c r="C21">
        <v>11</v>
      </c>
      <c r="D21">
        <v>2018</v>
      </c>
      <c r="E21" t="s">
        <v>74</v>
      </c>
      <c r="F21" t="s">
        <v>87</v>
      </c>
      <c r="G21" s="2">
        <v>3</v>
      </c>
      <c r="H21" t="s">
        <v>76</v>
      </c>
      <c r="I21" t="s">
        <v>72</v>
      </c>
      <c r="L21" s="4" t="s">
        <v>49</v>
      </c>
    </row>
    <row r="22" spans="1:14" x14ac:dyDescent="0.25">
      <c r="A22" t="s">
        <v>78</v>
      </c>
      <c r="B22">
        <v>7</v>
      </c>
      <c r="C22">
        <v>11</v>
      </c>
      <c r="D22">
        <v>2018</v>
      </c>
      <c r="E22" t="s">
        <v>79</v>
      </c>
      <c r="F22" t="s">
        <v>90</v>
      </c>
      <c r="G22" s="2">
        <v>466</v>
      </c>
      <c r="H22" t="s">
        <v>81</v>
      </c>
      <c r="I22" t="s">
        <v>72</v>
      </c>
      <c r="J22" t="s">
        <v>88</v>
      </c>
      <c r="L22" s="3" t="s">
        <v>44</v>
      </c>
      <c r="N22" s="3" t="s">
        <v>45</v>
      </c>
    </row>
    <row r="23" spans="1:14" x14ac:dyDescent="0.25">
      <c r="A23" t="s">
        <v>85</v>
      </c>
      <c r="B23">
        <v>11</v>
      </c>
      <c r="C23">
        <v>11</v>
      </c>
      <c r="D23">
        <v>2018</v>
      </c>
      <c r="E23" t="s">
        <v>79</v>
      </c>
      <c r="F23" t="s">
        <v>80</v>
      </c>
      <c r="G23" s="2">
        <v>12276</v>
      </c>
      <c r="H23" t="s">
        <v>85</v>
      </c>
      <c r="I23" t="s">
        <v>72</v>
      </c>
      <c r="J23" t="s">
        <v>88</v>
      </c>
      <c r="L23" s="2">
        <v>2000</v>
      </c>
      <c r="N23" s="2">
        <v>10000</v>
      </c>
    </row>
    <row r="24" spans="1:14" x14ac:dyDescent="0.25">
      <c r="A24" t="s">
        <v>98</v>
      </c>
      <c r="B24">
        <v>11</v>
      </c>
      <c r="C24">
        <v>11</v>
      </c>
      <c r="D24">
        <v>2018</v>
      </c>
      <c r="E24" t="s">
        <v>69</v>
      </c>
      <c r="F24" t="s">
        <v>70</v>
      </c>
      <c r="G24" s="2">
        <v>7</v>
      </c>
      <c r="H24" t="s">
        <v>77</v>
      </c>
      <c r="I24" t="s">
        <v>72</v>
      </c>
      <c r="J24" t="s">
        <v>72</v>
      </c>
    </row>
    <row r="25" spans="1:14" x14ac:dyDescent="0.25">
      <c r="A25" t="s">
        <v>99</v>
      </c>
      <c r="B25">
        <v>11</v>
      </c>
      <c r="C25">
        <v>11</v>
      </c>
      <c r="D25">
        <v>2018</v>
      </c>
      <c r="E25" t="s">
        <v>74</v>
      </c>
      <c r="F25" t="s">
        <v>75</v>
      </c>
      <c r="G25" s="2">
        <v>133</v>
      </c>
      <c r="H25" t="s">
        <v>89</v>
      </c>
      <c r="I25" t="s">
        <v>76</v>
      </c>
      <c r="J25" t="s">
        <v>72</v>
      </c>
      <c r="L25" s="3" t="s">
        <v>46</v>
      </c>
      <c r="N25" s="3" t="s">
        <v>47</v>
      </c>
    </row>
    <row r="26" spans="1:14" x14ac:dyDescent="0.25">
      <c r="A26" t="s">
        <v>95</v>
      </c>
      <c r="B26">
        <v>11</v>
      </c>
      <c r="C26">
        <v>11</v>
      </c>
      <c r="D26">
        <v>2018</v>
      </c>
      <c r="E26" t="s">
        <v>74</v>
      </c>
      <c r="F26" t="s">
        <v>82</v>
      </c>
      <c r="G26" s="2">
        <v>65</v>
      </c>
      <c r="H26" t="s">
        <v>84</v>
      </c>
      <c r="I26" t="s">
        <v>76</v>
      </c>
      <c r="J26" t="s">
        <v>72</v>
      </c>
      <c r="L26" s="2">
        <f>(L23+(SUMIF(J3:J138,"Checking",G3:G138))-SUMIF(I3:I138,"Checking",G3:G138))</f>
        <v>13263</v>
      </c>
      <c r="N26" s="2">
        <f>(N23+(SUMIF(J3:J138,"Savings",G3:G138))-SUMIF(I3:I138,"Savings",G3:G138))</f>
        <v>58404</v>
      </c>
    </row>
    <row r="27" spans="1:14" x14ac:dyDescent="0.25">
      <c r="A27" t="s">
        <v>78</v>
      </c>
      <c r="B27">
        <v>11</v>
      </c>
      <c r="C27">
        <v>11</v>
      </c>
      <c r="D27">
        <v>2018</v>
      </c>
      <c r="E27" t="s">
        <v>79</v>
      </c>
      <c r="F27" t="s">
        <v>90</v>
      </c>
      <c r="G27" s="2">
        <v>107</v>
      </c>
      <c r="H27" t="s">
        <v>81</v>
      </c>
      <c r="I27" t="s">
        <v>72</v>
      </c>
      <c r="J27" t="s">
        <v>88</v>
      </c>
      <c r="L27" s="2"/>
      <c r="N27" s="2"/>
    </row>
    <row r="28" spans="1:14" x14ac:dyDescent="0.25">
      <c r="A28" t="s">
        <v>78</v>
      </c>
      <c r="B28">
        <v>11</v>
      </c>
      <c r="C28">
        <v>11</v>
      </c>
      <c r="D28">
        <v>2018</v>
      </c>
      <c r="E28" t="s">
        <v>79</v>
      </c>
      <c r="F28" t="s">
        <v>80</v>
      </c>
      <c r="G28" s="2">
        <v>55</v>
      </c>
      <c r="H28" t="s">
        <v>81</v>
      </c>
      <c r="I28" t="s">
        <v>72</v>
      </c>
      <c r="J28" t="s">
        <v>76</v>
      </c>
    </row>
    <row r="29" spans="1:14" x14ac:dyDescent="0.25">
      <c r="A29" t="s">
        <v>91</v>
      </c>
      <c r="B29">
        <v>11</v>
      </c>
      <c r="C29">
        <v>11</v>
      </c>
      <c r="D29">
        <v>2018</v>
      </c>
      <c r="E29" t="s">
        <v>92</v>
      </c>
      <c r="F29" t="s">
        <v>87</v>
      </c>
      <c r="G29" s="2">
        <v>95</v>
      </c>
      <c r="H29" t="s">
        <v>93</v>
      </c>
      <c r="I29" t="s">
        <v>88</v>
      </c>
      <c r="J29" t="s">
        <v>76</v>
      </c>
    </row>
    <row r="30" spans="1:14" x14ac:dyDescent="0.25">
      <c r="A30" t="s">
        <v>85</v>
      </c>
      <c r="B30">
        <v>11</v>
      </c>
      <c r="C30">
        <v>11</v>
      </c>
      <c r="D30">
        <v>2018</v>
      </c>
      <c r="E30" t="s">
        <v>79</v>
      </c>
      <c r="F30" t="s">
        <v>80</v>
      </c>
      <c r="G30" s="2">
        <v>11710</v>
      </c>
      <c r="H30" t="s">
        <v>85</v>
      </c>
      <c r="I30" t="s">
        <v>72</v>
      </c>
      <c r="J30" t="s">
        <v>88</v>
      </c>
    </row>
    <row r="31" spans="1:14" x14ac:dyDescent="0.25">
      <c r="A31" t="s">
        <v>100</v>
      </c>
      <c r="B31">
        <v>11</v>
      </c>
      <c r="C31">
        <v>11</v>
      </c>
      <c r="D31">
        <v>2018</v>
      </c>
      <c r="E31" t="s">
        <v>74</v>
      </c>
      <c r="F31" t="s">
        <v>82</v>
      </c>
      <c r="G31" s="2">
        <v>1402</v>
      </c>
      <c r="H31" t="s">
        <v>77</v>
      </c>
      <c r="I31" t="s">
        <v>76</v>
      </c>
      <c r="J31" t="s">
        <v>72</v>
      </c>
    </row>
    <row r="32" spans="1:14" x14ac:dyDescent="0.25">
      <c r="A32" t="s">
        <v>78</v>
      </c>
      <c r="B32">
        <v>11</v>
      </c>
      <c r="C32">
        <v>11</v>
      </c>
      <c r="D32">
        <v>2018</v>
      </c>
      <c r="E32" t="s">
        <v>79</v>
      </c>
      <c r="F32" t="s">
        <v>75</v>
      </c>
      <c r="G32" s="2">
        <v>166</v>
      </c>
      <c r="H32" t="s">
        <v>81</v>
      </c>
      <c r="I32" t="s">
        <v>72</v>
      </c>
      <c r="J32" t="s">
        <v>88</v>
      </c>
    </row>
    <row r="33" spans="1:11" x14ac:dyDescent="0.25">
      <c r="A33" t="s">
        <v>101</v>
      </c>
      <c r="B33">
        <v>13</v>
      </c>
      <c r="C33">
        <v>11</v>
      </c>
      <c r="D33">
        <v>2018</v>
      </c>
      <c r="E33" t="s">
        <v>69</v>
      </c>
      <c r="F33" t="s">
        <v>70</v>
      </c>
      <c r="G33" s="2">
        <v>19</v>
      </c>
      <c r="H33" t="s">
        <v>110</v>
      </c>
      <c r="I33" t="s">
        <v>72</v>
      </c>
    </row>
    <row r="34" spans="1:11" x14ac:dyDescent="0.25">
      <c r="A34" t="s">
        <v>95</v>
      </c>
      <c r="B34">
        <v>13</v>
      </c>
      <c r="C34">
        <v>11</v>
      </c>
      <c r="D34">
        <v>2018</v>
      </c>
      <c r="E34" t="s">
        <v>74</v>
      </c>
      <c r="F34" t="s">
        <v>82</v>
      </c>
      <c r="G34" s="2">
        <v>30</v>
      </c>
      <c r="H34" t="s">
        <v>84</v>
      </c>
      <c r="I34" t="s">
        <v>76</v>
      </c>
      <c r="K34" t="s">
        <v>72</v>
      </c>
    </row>
    <row r="35" spans="1:11" x14ac:dyDescent="0.25">
      <c r="A35" t="s">
        <v>91</v>
      </c>
      <c r="B35">
        <v>13</v>
      </c>
      <c r="C35">
        <v>11</v>
      </c>
      <c r="D35">
        <v>2018</v>
      </c>
      <c r="E35" t="s">
        <v>92</v>
      </c>
      <c r="F35" t="s">
        <v>87</v>
      </c>
      <c r="G35" s="2">
        <v>87</v>
      </c>
      <c r="H35" t="s">
        <v>93</v>
      </c>
      <c r="I35" t="s">
        <v>88</v>
      </c>
      <c r="J35" t="s">
        <v>76</v>
      </c>
    </row>
    <row r="36" spans="1:11" x14ac:dyDescent="0.25">
      <c r="A36" t="s">
        <v>83</v>
      </c>
      <c r="B36">
        <v>13</v>
      </c>
      <c r="C36">
        <v>11</v>
      </c>
      <c r="D36">
        <v>2018</v>
      </c>
      <c r="E36" t="s">
        <v>74</v>
      </c>
      <c r="F36" t="s">
        <v>82</v>
      </c>
      <c r="G36" s="2">
        <v>16</v>
      </c>
      <c r="H36" t="s">
        <v>84</v>
      </c>
      <c r="I36" t="s">
        <v>76</v>
      </c>
    </row>
    <row r="37" spans="1:11" x14ac:dyDescent="0.25">
      <c r="A37" t="s">
        <v>85</v>
      </c>
      <c r="B37">
        <v>13</v>
      </c>
      <c r="C37">
        <v>11</v>
      </c>
      <c r="D37">
        <v>2018</v>
      </c>
      <c r="E37" t="s">
        <v>79</v>
      </c>
      <c r="F37" t="s">
        <v>80</v>
      </c>
      <c r="G37" s="2">
        <v>5531</v>
      </c>
      <c r="H37" t="s">
        <v>85</v>
      </c>
      <c r="I37" t="s">
        <v>72</v>
      </c>
      <c r="J37" t="s">
        <v>76</v>
      </c>
    </row>
    <row r="38" spans="1:11" x14ac:dyDescent="0.25">
      <c r="A38" t="s">
        <v>86</v>
      </c>
      <c r="B38">
        <v>13</v>
      </c>
      <c r="C38">
        <v>11</v>
      </c>
      <c r="D38">
        <v>2018</v>
      </c>
      <c r="E38" t="s">
        <v>74</v>
      </c>
      <c r="F38" t="s">
        <v>87</v>
      </c>
      <c r="G38" s="2">
        <v>466</v>
      </c>
      <c r="H38" t="s">
        <v>111</v>
      </c>
      <c r="I38" t="s">
        <v>88</v>
      </c>
      <c r="K38" t="s">
        <v>72</v>
      </c>
    </row>
    <row r="39" spans="1:11" x14ac:dyDescent="0.25">
      <c r="A39" t="s">
        <v>78</v>
      </c>
      <c r="B39">
        <v>13</v>
      </c>
      <c r="C39">
        <v>11</v>
      </c>
      <c r="D39">
        <v>2018</v>
      </c>
      <c r="E39" t="s">
        <v>79</v>
      </c>
      <c r="F39" t="s">
        <v>87</v>
      </c>
      <c r="G39" s="2">
        <v>271</v>
      </c>
      <c r="H39" t="s">
        <v>81</v>
      </c>
      <c r="I39" t="s">
        <v>72</v>
      </c>
      <c r="J39" t="s">
        <v>88</v>
      </c>
    </row>
    <row r="40" spans="1:11" x14ac:dyDescent="0.25">
      <c r="A40" t="s">
        <v>91</v>
      </c>
      <c r="B40">
        <v>13</v>
      </c>
      <c r="C40">
        <v>11</v>
      </c>
      <c r="D40">
        <v>2018</v>
      </c>
      <c r="E40" t="s">
        <v>92</v>
      </c>
      <c r="F40" t="s">
        <v>87</v>
      </c>
      <c r="G40" s="2">
        <v>237</v>
      </c>
      <c r="H40" t="s">
        <v>93</v>
      </c>
      <c r="I40" t="s">
        <v>88</v>
      </c>
      <c r="J40" t="s">
        <v>76</v>
      </c>
    </row>
    <row r="41" spans="1:11" x14ac:dyDescent="0.25">
      <c r="A41" t="s">
        <v>101</v>
      </c>
      <c r="B41">
        <v>13</v>
      </c>
      <c r="C41">
        <v>11</v>
      </c>
      <c r="D41">
        <v>2018</v>
      </c>
      <c r="E41" t="s">
        <v>69</v>
      </c>
      <c r="F41" t="s">
        <v>70</v>
      </c>
      <c r="G41" s="2">
        <v>4</v>
      </c>
      <c r="H41" t="s">
        <v>110</v>
      </c>
      <c r="I41" t="s">
        <v>72</v>
      </c>
    </row>
    <row r="42" spans="1:11" x14ac:dyDescent="0.25">
      <c r="A42" t="s">
        <v>102</v>
      </c>
      <c r="B42">
        <v>13</v>
      </c>
      <c r="C42">
        <v>11</v>
      </c>
      <c r="D42">
        <v>2018</v>
      </c>
      <c r="E42" t="s">
        <v>69</v>
      </c>
      <c r="F42" t="s">
        <v>70</v>
      </c>
      <c r="G42" s="2">
        <v>115</v>
      </c>
      <c r="H42" t="s">
        <v>89</v>
      </c>
      <c r="I42" t="s">
        <v>72</v>
      </c>
      <c r="J42" t="s">
        <v>72</v>
      </c>
    </row>
    <row r="43" spans="1:11" x14ac:dyDescent="0.25">
      <c r="A43" t="s">
        <v>86</v>
      </c>
      <c r="B43">
        <v>14</v>
      </c>
      <c r="C43">
        <v>11</v>
      </c>
      <c r="D43">
        <v>2018</v>
      </c>
      <c r="E43" t="s">
        <v>74</v>
      </c>
      <c r="F43" t="s">
        <v>87</v>
      </c>
      <c r="G43" s="2">
        <v>231</v>
      </c>
      <c r="H43" t="s">
        <v>111</v>
      </c>
      <c r="I43" t="s">
        <v>76</v>
      </c>
    </row>
    <row r="44" spans="1:11" x14ac:dyDescent="0.25">
      <c r="A44" t="s">
        <v>99</v>
      </c>
      <c r="B44">
        <v>14</v>
      </c>
      <c r="C44">
        <v>11</v>
      </c>
      <c r="D44">
        <v>2018</v>
      </c>
      <c r="E44" t="s">
        <v>69</v>
      </c>
      <c r="F44" t="s">
        <v>70</v>
      </c>
      <c r="G44" s="2">
        <v>118</v>
      </c>
      <c r="H44" t="s">
        <v>89</v>
      </c>
      <c r="I44" t="s">
        <v>72</v>
      </c>
      <c r="J44" t="s">
        <v>72</v>
      </c>
    </row>
    <row r="45" spans="1:11" x14ac:dyDescent="0.25">
      <c r="A45" t="s">
        <v>91</v>
      </c>
      <c r="B45">
        <v>14</v>
      </c>
      <c r="C45">
        <v>11</v>
      </c>
      <c r="D45">
        <v>2018</v>
      </c>
      <c r="E45" t="s">
        <v>92</v>
      </c>
      <c r="F45" t="s">
        <v>87</v>
      </c>
      <c r="G45" s="2">
        <v>244</v>
      </c>
      <c r="H45" t="s">
        <v>93</v>
      </c>
      <c r="I45" t="s">
        <v>88</v>
      </c>
      <c r="J45" t="s">
        <v>76</v>
      </c>
    </row>
    <row r="46" spans="1:11" x14ac:dyDescent="0.25">
      <c r="A46" t="s">
        <v>95</v>
      </c>
      <c r="B46">
        <v>14</v>
      </c>
      <c r="C46">
        <v>11</v>
      </c>
      <c r="D46">
        <v>2018</v>
      </c>
      <c r="E46" t="s">
        <v>74</v>
      </c>
      <c r="F46" t="s">
        <v>75</v>
      </c>
      <c r="G46" s="2">
        <v>25</v>
      </c>
      <c r="H46" t="s">
        <v>84</v>
      </c>
      <c r="I46" t="s">
        <v>76</v>
      </c>
      <c r="K46" t="s">
        <v>72</v>
      </c>
    </row>
    <row r="47" spans="1:11" x14ac:dyDescent="0.25">
      <c r="A47" t="s">
        <v>83</v>
      </c>
      <c r="B47">
        <v>14</v>
      </c>
      <c r="C47">
        <v>11</v>
      </c>
      <c r="D47">
        <v>2018</v>
      </c>
      <c r="E47" t="s">
        <v>74</v>
      </c>
      <c r="F47" t="s">
        <v>87</v>
      </c>
      <c r="G47" s="2">
        <v>16</v>
      </c>
      <c r="H47" t="s">
        <v>84</v>
      </c>
      <c r="I47" t="s">
        <v>76</v>
      </c>
    </row>
    <row r="48" spans="1:11" x14ac:dyDescent="0.25">
      <c r="A48" t="s">
        <v>86</v>
      </c>
      <c r="B48">
        <v>14</v>
      </c>
      <c r="C48">
        <v>11</v>
      </c>
      <c r="D48">
        <v>2018</v>
      </c>
      <c r="E48" t="s">
        <v>74</v>
      </c>
      <c r="F48" t="s">
        <v>87</v>
      </c>
      <c r="G48" s="2">
        <v>446</v>
      </c>
      <c r="H48" t="s">
        <v>111</v>
      </c>
      <c r="I48" t="s">
        <v>88</v>
      </c>
    </row>
    <row r="49" spans="1:11" x14ac:dyDescent="0.25">
      <c r="A49" t="s">
        <v>68</v>
      </c>
      <c r="B49">
        <v>14</v>
      </c>
      <c r="C49">
        <v>11</v>
      </c>
      <c r="D49">
        <v>2018</v>
      </c>
      <c r="E49" t="s">
        <v>74</v>
      </c>
      <c r="F49" t="s">
        <v>75</v>
      </c>
      <c r="G49" s="2">
        <v>17</v>
      </c>
      <c r="H49" t="s">
        <v>71</v>
      </c>
      <c r="I49" t="s">
        <v>76</v>
      </c>
      <c r="J49" t="s">
        <v>72</v>
      </c>
    </row>
    <row r="50" spans="1:11" x14ac:dyDescent="0.25">
      <c r="A50" t="s">
        <v>103</v>
      </c>
      <c r="B50">
        <v>14</v>
      </c>
      <c r="C50">
        <v>11</v>
      </c>
      <c r="D50">
        <v>2018</v>
      </c>
      <c r="E50" t="s">
        <v>74</v>
      </c>
      <c r="F50" t="s">
        <v>87</v>
      </c>
      <c r="G50" s="2">
        <v>2674</v>
      </c>
      <c r="H50" t="s">
        <v>77</v>
      </c>
      <c r="I50" t="s">
        <v>76</v>
      </c>
      <c r="J50" t="s">
        <v>72</v>
      </c>
    </row>
    <row r="51" spans="1:11" x14ac:dyDescent="0.25">
      <c r="A51" t="s">
        <v>104</v>
      </c>
      <c r="B51">
        <v>14</v>
      </c>
      <c r="C51">
        <v>11</v>
      </c>
      <c r="D51">
        <v>2018</v>
      </c>
      <c r="E51" t="s">
        <v>74</v>
      </c>
      <c r="F51" t="s">
        <v>82</v>
      </c>
      <c r="G51" s="2">
        <v>10</v>
      </c>
      <c r="H51" t="s">
        <v>77</v>
      </c>
      <c r="I51" t="s">
        <v>76</v>
      </c>
      <c r="J51" t="s">
        <v>72</v>
      </c>
    </row>
    <row r="52" spans="1:11" x14ac:dyDescent="0.25">
      <c r="A52" t="s">
        <v>105</v>
      </c>
      <c r="B52">
        <v>14</v>
      </c>
      <c r="C52">
        <v>11</v>
      </c>
      <c r="D52">
        <v>2018</v>
      </c>
      <c r="E52" t="s">
        <v>69</v>
      </c>
      <c r="F52" t="s">
        <v>70</v>
      </c>
      <c r="G52" s="2">
        <v>9</v>
      </c>
      <c r="H52" t="s">
        <v>71</v>
      </c>
      <c r="I52" t="s">
        <v>72</v>
      </c>
      <c r="J52" t="s">
        <v>72</v>
      </c>
    </row>
    <row r="53" spans="1:11" x14ac:dyDescent="0.25">
      <c r="A53" t="s">
        <v>101</v>
      </c>
      <c r="B53">
        <v>15</v>
      </c>
      <c r="C53">
        <v>11</v>
      </c>
      <c r="D53">
        <v>2018</v>
      </c>
      <c r="E53" t="s">
        <v>74</v>
      </c>
      <c r="F53" t="s">
        <v>82</v>
      </c>
      <c r="G53" s="2">
        <v>18</v>
      </c>
      <c r="H53" t="s">
        <v>110</v>
      </c>
      <c r="I53" t="s">
        <v>76</v>
      </c>
    </row>
    <row r="54" spans="1:11" x14ac:dyDescent="0.25">
      <c r="A54" t="s">
        <v>101</v>
      </c>
      <c r="B54">
        <v>15</v>
      </c>
      <c r="C54">
        <v>11</v>
      </c>
      <c r="D54">
        <v>2018</v>
      </c>
      <c r="E54" t="s">
        <v>69</v>
      </c>
      <c r="F54" t="s">
        <v>70</v>
      </c>
      <c r="G54" s="2">
        <v>18</v>
      </c>
      <c r="H54" t="s">
        <v>110</v>
      </c>
      <c r="I54" t="s">
        <v>72</v>
      </c>
    </row>
    <row r="55" spans="1:11" x14ac:dyDescent="0.25">
      <c r="A55" t="s">
        <v>95</v>
      </c>
      <c r="B55">
        <v>15</v>
      </c>
      <c r="C55">
        <v>11</v>
      </c>
      <c r="D55">
        <v>2018</v>
      </c>
      <c r="E55" t="s">
        <v>74</v>
      </c>
      <c r="F55" t="s">
        <v>87</v>
      </c>
      <c r="G55" s="2">
        <v>66</v>
      </c>
      <c r="H55" t="s">
        <v>84</v>
      </c>
      <c r="I55" t="s">
        <v>76</v>
      </c>
      <c r="K55" t="s">
        <v>72</v>
      </c>
    </row>
    <row r="56" spans="1:11" x14ac:dyDescent="0.25">
      <c r="A56" t="s">
        <v>101</v>
      </c>
      <c r="B56">
        <v>15</v>
      </c>
      <c r="C56">
        <v>11</v>
      </c>
      <c r="D56">
        <v>2018</v>
      </c>
      <c r="E56" t="s">
        <v>74</v>
      </c>
      <c r="F56" t="s">
        <v>87</v>
      </c>
      <c r="G56" s="2">
        <v>1</v>
      </c>
      <c r="H56" t="s">
        <v>76</v>
      </c>
      <c r="I56" t="s">
        <v>72</v>
      </c>
    </row>
    <row r="57" spans="1:11" x14ac:dyDescent="0.25">
      <c r="A57" t="s">
        <v>106</v>
      </c>
      <c r="B57">
        <v>15</v>
      </c>
      <c r="C57">
        <v>11</v>
      </c>
      <c r="D57">
        <v>2018</v>
      </c>
      <c r="E57" t="s">
        <v>69</v>
      </c>
      <c r="F57" t="s">
        <v>70</v>
      </c>
      <c r="G57" s="2">
        <v>8</v>
      </c>
      <c r="H57" t="s">
        <v>110</v>
      </c>
      <c r="I57" t="s">
        <v>72</v>
      </c>
    </row>
    <row r="58" spans="1:11" x14ac:dyDescent="0.25">
      <c r="A58" t="s">
        <v>85</v>
      </c>
      <c r="B58">
        <v>15</v>
      </c>
      <c r="C58">
        <v>11</v>
      </c>
      <c r="D58">
        <v>2018</v>
      </c>
      <c r="E58" t="s">
        <v>79</v>
      </c>
      <c r="F58" t="s">
        <v>80</v>
      </c>
      <c r="G58" s="2">
        <v>3535</v>
      </c>
      <c r="H58" t="s">
        <v>85</v>
      </c>
      <c r="I58" t="s">
        <v>72</v>
      </c>
      <c r="J58" t="s">
        <v>88</v>
      </c>
    </row>
    <row r="59" spans="1:11" x14ac:dyDescent="0.25">
      <c r="A59" t="s">
        <v>101</v>
      </c>
      <c r="B59">
        <v>15</v>
      </c>
      <c r="C59">
        <v>11</v>
      </c>
      <c r="D59">
        <v>2018</v>
      </c>
      <c r="E59" t="s">
        <v>74</v>
      </c>
      <c r="F59" t="s">
        <v>82</v>
      </c>
      <c r="G59" s="2">
        <v>7</v>
      </c>
      <c r="H59" t="s">
        <v>76</v>
      </c>
      <c r="I59" t="s">
        <v>72</v>
      </c>
    </row>
    <row r="60" spans="1:11" x14ac:dyDescent="0.25">
      <c r="A60" t="s">
        <v>107</v>
      </c>
      <c r="B60">
        <v>15</v>
      </c>
      <c r="C60">
        <v>11</v>
      </c>
      <c r="D60">
        <v>2018</v>
      </c>
      <c r="E60" t="s">
        <v>69</v>
      </c>
      <c r="F60" t="s">
        <v>70</v>
      </c>
      <c r="G60" s="2">
        <v>31</v>
      </c>
      <c r="H60" t="s">
        <v>89</v>
      </c>
      <c r="I60" t="s">
        <v>72</v>
      </c>
      <c r="J60" t="s">
        <v>72</v>
      </c>
    </row>
    <row r="61" spans="1:11" x14ac:dyDescent="0.25">
      <c r="A61" t="s">
        <v>108</v>
      </c>
      <c r="B61">
        <v>15</v>
      </c>
      <c r="C61">
        <v>11</v>
      </c>
      <c r="D61">
        <v>2018</v>
      </c>
      <c r="E61" t="s">
        <v>69</v>
      </c>
      <c r="F61" t="s">
        <v>70</v>
      </c>
      <c r="G61" s="2">
        <v>11</v>
      </c>
      <c r="H61" t="s">
        <v>71</v>
      </c>
      <c r="I61" t="s">
        <v>72</v>
      </c>
      <c r="J61" t="s">
        <v>72</v>
      </c>
    </row>
    <row r="62" spans="1:11" x14ac:dyDescent="0.25">
      <c r="A62" t="s">
        <v>109</v>
      </c>
      <c r="B62">
        <v>15</v>
      </c>
      <c r="C62">
        <v>11</v>
      </c>
      <c r="D62">
        <v>2018</v>
      </c>
      <c r="E62" t="s">
        <v>74</v>
      </c>
      <c r="F62" t="s">
        <v>90</v>
      </c>
      <c r="G62" s="2">
        <v>23</v>
      </c>
      <c r="H62" t="s">
        <v>76</v>
      </c>
      <c r="I62" t="s">
        <v>72</v>
      </c>
    </row>
    <row r="63" spans="1:11" x14ac:dyDescent="0.25">
      <c r="A63" t="s">
        <v>91</v>
      </c>
      <c r="B63">
        <v>16</v>
      </c>
      <c r="C63">
        <v>11</v>
      </c>
      <c r="D63">
        <v>2018</v>
      </c>
      <c r="E63" t="s">
        <v>92</v>
      </c>
      <c r="F63" t="s">
        <v>87</v>
      </c>
      <c r="G63" s="2">
        <v>282</v>
      </c>
      <c r="H63" t="s">
        <v>93</v>
      </c>
      <c r="I63" t="s">
        <v>88</v>
      </c>
      <c r="J63" t="s">
        <v>76</v>
      </c>
    </row>
    <row r="64" spans="1:11" x14ac:dyDescent="0.25">
      <c r="A64" t="s">
        <v>112</v>
      </c>
      <c r="B64">
        <v>16</v>
      </c>
      <c r="C64">
        <v>11</v>
      </c>
      <c r="D64">
        <v>2018</v>
      </c>
      <c r="E64" t="s">
        <v>69</v>
      </c>
      <c r="F64" t="s">
        <v>70</v>
      </c>
      <c r="G64" s="2">
        <v>17</v>
      </c>
      <c r="H64" t="s">
        <v>84</v>
      </c>
      <c r="I64" t="s">
        <v>72</v>
      </c>
      <c r="J64" t="s">
        <v>72</v>
      </c>
    </row>
    <row r="65" spans="1:10" x14ac:dyDescent="0.25">
      <c r="A65" t="s">
        <v>113</v>
      </c>
      <c r="B65">
        <v>16</v>
      </c>
      <c r="C65">
        <v>11</v>
      </c>
      <c r="D65">
        <v>2018</v>
      </c>
      <c r="E65" t="s">
        <v>69</v>
      </c>
      <c r="F65" t="s">
        <v>70</v>
      </c>
      <c r="G65" s="2">
        <v>18</v>
      </c>
      <c r="H65" t="s">
        <v>71</v>
      </c>
      <c r="I65" t="s">
        <v>72</v>
      </c>
      <c r="J65" t="s">
        <v>72</v>
      </c>
    </row>
    <row r="66" spans="1:10" x14ac:dyDescent="0.25">
      <c r="A66" t="s">
        <v>95</v>
      </c>
      <c r="B66">
        <v>16</v>
      </c>
      <c r="C66">
        <v>11</v>
      </c>
      <c r="D66">
        <v>2018</v>
      </c>
      <c r="E66" t="s">
        <v>74</v>
      </c>
      <c r="F66" t="s">
        <v>87</v>
      </c>
      <c r="G66" s="2">
        <v>41</v>
      </c>
      <c r="H66" t="s">
        <v>84</v>
      </c>
      <c r="I66" t="s">
        <v>76</v>
      </c>
      <c r="J66" t="s">
        <v>72</v>
      </c>
    </row>
    <row r="67" spans="1:10" x14ac:dyDescent="0.25">
      <c r="A67" t="s">
        <v>114</v>
      </c>
      <c r="B67">
        <v>16</v>
      </c>
      <c r="C67">
        <v>11</v>
      </c>
      <c r="D67">
        <v>2018</v>
      </c>
      <c r="E67" t="s">
        <v>74</v>
      </c>
      <c r="F67" t="s">
        <v>75</v>
      </c>
      <c r="G67" s="2">
        <v>130</v>
      </c>
      <c r="H67" t="s">
        <v>89</v>
      </c>
      <c r="I67" t="s">
        <v>76</v>
      </c>
      <c r="J67" t="s">
        <v>72</v>
      </c>
    </row>
    <row r="68" spans="1:10" x14ac:dyDescent="0.25">
      <c r="A68" t="s">
        <v>85</v>
      </c>
      <c r="B68">
        <v>16</v>
      </c>
      <c r="C68">
        <v>11</v>
      </c>
      <c r="D68">
        <v>2018</v>
      </c>
      <c r="E68" t="s">
        <v>79</v>
      </c>
      <c r="F68" t="s">
        <v>80</v>
      </c>
      <c r="G68" s="2">
        <v>4932</v>
      </c>
      <c r="H68" t="s">
        <v>85</v>
      </c>
      <c r="I68" t="s">
        <v>72</v>
      </c>
      <c r="J68" t="s">
        <v>88</v>
      </c>
    </row>
    <row r="69" spans="1:10" x14ac:dyDescent="0.25">
      <c r="A69" t="s">
        <v>91</v>
      </c>
      <c r="B69">
        <v>16</v>
      </c>
      <c r="C69">
        <v>11</v>
      </c>
      <c r="D69">
        <v>2018</v>
      </c>
      <c r="E69" t="s">
        <v>92</v>
      </c>
      <c r="F69" t="s">
        <v>87</v>
      </c>
      <c r="G69" s="2">
        <v>91</v>
      </c>
      <c r="H69" t="s">
        <v>93</v>
      </c>
      <c r="I69" t="s">
        <v>88</v>
      </c>
      <c r="J69" t="s">
        <v>76</v>
      </c>
    </row>
    <row r="70" spans="1:10" x14ac:dyDescent="0.25">
      <c r="A70" t="s">
        <v>115</v>
      </c>
      <c r="B70">
        <v>16</v>
      </c>
      <c r="C70">
        <v>11</v>
      </c>
      <c r="D70">
        <v>2018</v>
      </c>
      <c r="E70" t="s">
        <v>69</v>
      </c>
      <c r="F70" t="s">
        <v>70</v>
      </c>
      <c r="G70" s="2">
        <v>114</v>
      </c>
      <c r="H70" t="s">
        <v>89</v>
      </c>
      <c r="I70" t="s">
        <v>72</v>
      </c>
      <c r="J70" t="s">
        <v>72</v>
      </c>
    </row>
    <row r="71" spans="1:10" x14ac:dyDescent="0.25">
      <c r="A71" t="s">
        <v>86</v>
      </c>
      <c r="B71">
        <v>16</v>
      </c>
      <c r="C71">
        <v>11</v>
      </c>
      <c r="D71">
        <v>2018</v>
      </c>
      <c r="E71" t="s">
        <v>74</v>
      </c>
      <c r="F71" t="s">
        <v>87</v>
      </c>
      <c r="G71" s="2">
        <v>463</v>
      </c>
      <c r="H71" t="s">
        <v>111</v>
      </c>
      <c r="I71" t="s">
        <v>72</v>
      </c>
      <c r="J71" t="s">
        <v>72</v>
      </c>
    </row>
    <row r="72" spans="1:10" x14ac:dyDescent="0.25">
      <c r="A72" t="s">
        <v>116</v>
      </c>
      <c r="B72">
        <v>16</v>
      </c>
      <c r="C72">
        <v>11</v>
      </c>
      <c r="D72">
        <v>2018</v>
      </c>
      <c r="E72" t="s">
        <v>74</v>
      </c>
      <c r="F72" t="s">
        <v>82</v>
      </c>
      <c r="G72" s="2">
        <v>13</v>
      </c>
      <c r="H72" t="s">
        <v>71</v>
      </c>
      <c r="I72" t="s">
        <v>76</v>
      </c>
      <c r="J72" t="s">
        <v>72</v>
      </c>
    </row>
    <row r="73" spans="1:10" x14ac:dyDescent="0.25">
      <c r="A73" t="s">
        <v>117</v>
      </c>
      <c r="B73">
        <v>18</v>
      </c>
      <c r="C73">
        <v>11</v>
      </c>
      <c r="D73">
        <v>2018</v>
      </c>
      <c r="E73" t="s">
        <v>74</v>
      </c>
      <c r="F73" t="s">
        <v>82</v>
      </c>
      <c r="G73" s="2">
        <v>10</v>
      </c>
      <c r="H73" t="s">
        <v>77</v>
      </c>
      <c r="I73" t="s">
        <v>76</v>
      </c>
      <c r="J73" t="s">
        <v>72</v>
      </c>
    </row>
    <row r="74" spans="1:10" x14ac:dyDescent="0.25">
      <c r="A74" t="s">
        <v>78</v>
      </c>
      <c r="B74">
        <v>18</v>
      </c>
      <c r="C74">
        <v>11</v>
      </c>
      <c r="D74">
        <v>2018</v>
      </c>
      <c r="E74" t="s">
        <v>79</v>
      </c>
      <c r="F74" t="s">
        <v>80</v>
      </c>
      <c r="G74" s="2">
        <v>471</v>
      </c>
      <c r="H74" t="s">
        <v>81</v>
      </c>
      <c r="I74" t="s">
        <v>72</v>
      </c>
      <c r="J74" t="s">
        <v>88</v>
      </c>
    </row>
    <row r="75" spans="1:10" x14ac:dyDescent="0.25">
      <c r="A75" t="s">
        <v>116</v>
      </c>
      <c r="B75">
        <v>18</v>
      </c>
      <c r="C75">
        <v>11</v>
      </c>
      <c r="D75">
        <v>2018</v>
      </c>
      <c r="E75" t="s">
        <v>74</v>
      </c>
      <c r="F75" t="s">
        <v>90</v>
      </c>
      <c r="G75" s="2">
        <v>3</v>
      </c>
      <c r="H75" t="s">
        <v>71</v>
      </c>
      <c r="I75" t="s">
        <v>76</v>
      </c>
      <c r="J75" t="s">
        <v>72</v>
      </c>
    </row>
    <row r="76" spans="1:10" x14ac:dyDescent="0.25">
      <c r="A76" t="s">
        <v>118</v>
      </c>
      <c r="B76">
        <v>18</v>
      </c>
      <c r="C76">
        <v>11</v>
      </c>
      <c r="D76">
        <v>2018</v>
      </c>
      <c r="E76" t="s">
        <v>92</v>
      </c>
      <c r="F76" t="s">
        <v>87</v>
      </c>
      <c r="G76" s="2">
        <v>238</v>
      </c>
      <c r="H76" t="s">
        <v>119</v>
      </c>
      <c r="I76" t="s">
        <v>76</v>
      </c>
      <c r="J76" t="s">
        <v>88</v>
      </c>
    </row>
    <row r="77" spans="1:10" x14ac:dyDescent="0.25">
      <c r="A77" t="s">
        <v>68</v>
      </c>
      <c r="B77">
        <v>18</v>
      </c>
      <c r="C77">
        <v>11</v>
      </c>
      <c r="D77">
        <v>2018</v>
      </c>
      <c r="E77" t="s">
        <v>74</v>
      </c>
      <c r="F77" t="s">
        <v>82</v>
      </c>
      <c r="G77" s="2">
        <v>1</v>
      </c>
      <c r="H77" t="s">
        <v>71</v>
      </c>
      <c r="I77" t="s">
        <v>76</v>
      </c>
      <c r="J77" t="s">
        <v>72</v>
      </c>
    </row>
    <row r="78" spans="1:10" x14ac:dyDescent="0.25">
      <c r="A78" t="s">
        <v>120</v>
      </c>
      <c r="B78">
        <v>18</v>
      </c>
      <c r="C78">
        <v>11</v>
      </c>
      <c r="D78">
        <v>2018</v>
      </c>
      <c r="E78" t="s">
        <v>69</v>
      </c>
      <c r="F78" t="s">
        <v>70</v>
      </c>
      <c r="G78" s="2">
        <v>4</v>
      </c>
      <c r="H78" t="s">
        <v>121</v>
      </c>
      <c r="I78" t="s">
        <v>72</v>
      </c>
    </row>
    <row r="79" spans="1:10" x14ac:dyDescent="0.25">
      <c r="A79" t="s">
        <v>94</v>
      </c>
      <c r="B79">
        <v>19</v>
      </c>
      <c r="C79">
        <v>11</v>
      </c>
      <c r="D79">
        <v>2018</v>
      </c>
      <c r="E79" t="s">
        <v>74</v>
      </c>
      <c r="F79" t="s">
        <v>75</v>
      </c>
      <c r="G79" s="2">
        <v>132</v>
      </c>
      <c r="H79" t="s">
        <v>77</v>
      </c>
      <c r="I79" t="s">
        <v>76</v>
      </c>
      <c r="J79" t="s">
        <v>72</v>
      </c>
    </row>
    <row r="80" spans="1:10" x14ac:dyDescent="0.25">
      <c r="A80" t="s">
        <v>78</v>
      </c>
      <c r="B80">
        <v>19</v>
      </c>
      <c r="C80">
        <v>11</v>
      </c>
      <c r="D80">
        <v>2018</v>
      </c>
      <c r="E80" t="s">
        <v>79</v>
      </c>
      <c r="F80" t="s">
        <v>87</v>
      </c>
      <c r="G80" s="2">
        <v>493</v>
      </c>
      <c r="H80" t="s">
        <v>81</v>
      </c>
      <c r="I80" t="s">
        <v>72</v>
      </c>
      <c r="J80" t="s">
        <v>88</v>
      </c>
    </row>
    <row r="81" spans="1:10" x14ac:dyDescent="0.25">
      <c r="A81" t="s">
        <v>118</v>
      </c>
      <c r="B81">
        <v>19</v>
      </c>
      <c r="C81">
        <v>11</v>
      </c>
      <c r="D81">
        <v>2018</v>
      </c>
      <c r="E81" t="s">
        <v>92</v>
      </c>
      <c r="F81" t="s">
        <v>87</v>
      </c>
      <c r="G81" s="2">
        <v>88</v>
      </c>
      <c r="H81" t="s">
        <v>119</v>
      </c>
      <c r="I81" t="s">
        <v>76</v>
      </c>
      <c r="J81" t="s">
        <v>88</v>
      </c>
    </row>
    <row r="82" spans="1:10" x14ac:dyDescent="0.25">
      <c r="A82" t="s">
        <v>122</v>
      </c>
      <c r="B82">
        <v>19</v>
      </c>
      <c r="C82">
        <v>11</v>
      </c>
      <c r="D82">
        <v>2018</v>
      </c>
      <c r="E82" t="s">
        <v>74</v>
      </c>
      <c r="F82" t="s">
        <v>90</v>
      </c>
      <c r="G82" s="2" t="s">
        <v>84</v>
      </c>
      <c r="H82" t="s">
        <v>76</v>
      </c>
      <c r="I82" t="s">
        <v>72</v>
      </c>
    </row>
    <row r="83" spans="1:10" x14ac:dyDescent="0.25">
      <c r="A83" t="s">
        <v>123</v>
      </c>
      <c r="B83">
        <v>19</v>
      </c>
      <c r="C83">
        <v>11</v>
      </c>
      <c r="D83">
        <v>2018</v>
      </c>
      <c r="E83" t="s">
        <v>74</v>
      </c>
      <c r="F83" t="s">
        <v>75</v>
      </c>
      <c r="G83" s="2">
        <v>15</v>
      </c>
      <c r="H83" t="s">
        <v>71</v>
      </c>
      <c r="I83" t="s">
        <v>76</v>
      </c>
      <c r="J83" t="s">
        <v>72</v>
      </c>
    </row>
    <row r="84" spans="1:10" x14ac:dyDescent="0.25">
      <c r="A84" t="s">
        <v>68</v>
      </c>
      <c r="B84">
        <v>19</v>
      </c>
      <c r="C84">
        <v>11</v>
      </c>
      <c r="D84">
        <v>2018</v>
      </c>
      <c r="E84" t="s">
        <v>74</v>
      </c>
      <c r="F84" t="s">
        <v>82</v>
      </c>
      <c r="G84" s="2">
        <v>12</v>
      </c>
      <c r="H84" t="s">
        <v>71</v>
      </c>
      <c r="I84" t="s">
        <v>76</v>
      </c>
      <c r="J84" t="s">
        <v>72</v>
      </c>
    </row>
    <row r="85" spans="1:10" x14ac:dyDescent="0.25">
      <c r="A85" t="s">
        <v>115</v>
      </c>
      <c r="B85">
        <v>19</v>
      </c>
      <c r="C85">
        <v>11</v>
      </c>
      <c r="D85">
        <v>2018</v>
      </c>
      <c r="E85" t="s">
        <v>69</v>
      </c>
      <c r="F85" t="s">
        <v>70</v>
      </c>
      <c r="G85" s="2">
        <v>119</v>
      </c>
      <c r="H85" t="s">
        <v>89</v>
      </c>
      <c r="I85" t="s">
        <v>72</v>
      </c>
      <c r="J85" t="s">
        <v>72</v>
      </c>
    </row>
    <row r="86" spans="1:10" x14ac:dyDescent="0.25">
      <c r="A86" t="s">
        <v>124</v>
      </c>
      <c r="B86">
        <v>19</v>
      </c>
      <c r="C86">
        <v>11</v>
      </c>
      <c r="D86">
        <v>2018</v>
      </c>
      <c r="E86" t="s">
        <v>69</v>
      </c>
      <c r="F86" t="s">
        <v>70</v>
      </c>
      <c r="G86" s="2">
        <v>13</v>
      </c>
      <c r="H86" t="s">
        <v>77</v>
      </c>
      <c r="I86" t="s">
        <v>72</v>
      </c>
      <c r="J86" t="s">
        <v>72</v>
      </c>
    </row>
    <row r="87" spans="1:10" x14ac:dyDescent="0.25">
      <c r="A87" t="s">
        <v>113</v>
      </c>
      <c r="B87">
        <v>25</v>
      </c>
      <c r="C87">
        <v>11</v>
      </c>
      <c r="D87">
        <v>2018</v>
      </c>
      <c r="E87" t="s">
        <v>74</v>
      </c>
      <c r="F87" t="s">
        <v>82</v>
      </c>
      <c r="G87" s="2">
        <v>1</v>
      </c>
      <c r="H87" t="s">
        <v>71</v>
      </c>
      <c r="I87" t="s">
        <v>76</v>
      </c>
      <c r="J87" t="s">
        <v>72</v>
      </c>
    </row>
    <row r="88" spans="1:10" x14ac:dyDescent="0.25">
      <c r="A88" t="s">
        <v>116</v>
      </c>
      <c r="B88">
        <v>25</v>
      </c>
      <c r="C88">
        <v>11</v>
      </c>
      <c r="D88">
        <v>2018</v>
      </c>
      <c r="E88" t="s">
        <v>74</v>
      </c>
      <c r="F88" t="s">
        <v>90</v>
      </c>
      <c r="G88" s="2">
        <v>19</v>
      </c>
      <c r="H88" t="s">
        <v>71</v>
      </c>
      <c r="I88" t="s">
        <v>76</v>
      </c>
      <c r="J88" t="s">
        <v>72</v>
      </c>
    </row>
    <row r="89" spans="1:10" x14ac:dyDescent="0.25">
      <c r="A89" t="s">
        <v>125</v>
      </c>
      <c r="B89">
        <v>25</v>
      </c>
      <c r="C89">
        <v>11</v>
      </c>
      <c r="D89">
        <v>2018</v>
      </c>
      <c r="E89" t="s">
        <v>74</v>
      </c>
      <c r="F89" t="s">
        <v>75</v>
      </c>
      <c r="G89" s="2">
        <v>3</v>
      </c>
      <c r="H89" t="s">
        <v>84</v>
      </c>
      <c r="I89" t="s">
        <v>76</v>
      </c>
      <c r="J89" t="s">
        <v>72</v>
      </c>
    </row>
    <row r="90" spans="1:10" x14ac:dyDescent="0.25">
      <c r="A90" t="s">
        <v>78</v>
      </c>
      <c r="B90">
        <v>26</v>
      </c>
      <c r="C90">
        <v>11</v>
      </c>
      <c r="D90">
        <v>2018</v>
      </c>
      <c r="E90" t="s">
        <v>79</v>
      </c>
      <c r="F90" t="s">
        <v>75</v>
      </c>
      <c r="G90" s="2">
        <v>53</v>
      </c>
      <c r="H90" t="s">
        <v>81</v>
      </c>
      <c r="I90" t="s">
        <v>72</v>
      </c>
      <c r="J90" t="s">
        <v>76</v>
      </c>
    </row>
    <row r="91" spans="1:10" x14ac:dyDescent="0.25">
      <c r="A91" t="s">
        <v>83</v>
      </c>
      <c r="B91">
        <v>26</v>
      </c>
      <c r="C91">
        <v>11</v>
      </c>
      <c r="D91">
        <v>2018</v>
      </c>
      <c r="E91" t="s">
        <v>69</v>
      </c>
      <c r="F91" t="s">
        <v>70</v>
      </c>
      <c r="G91" s="2">
        <v>16</v>
      </c>
      <c r="H91" t="s">
        <v>84</v>
      </c>
      <c r="I91" t="s">
        <v>72</v>
      </c>
      <c r="J91" t="s">
        <v>72</v>
      </c>
    </row>
    <row r="92" spans="1:10" x14ac:dyDescent="0.25">
      <c r="A92" t="s">
        <v>123</v>
      </c>
      <c r="B92">
        <v>26</v>
      </c>
      <c r="C92">
        <v>11</v>
      </c>
      <c r="D92">
        <v>2018</v>
      </c>
      <c r="E92" t="s">
        <v>74</v>
      </c>
      <c r="F92" t="s">
        <v>82</v>
      </c>
      <c r="G92" s="2">
        <v>14</v>
      </c>
      <c r="H92" t="s">
        <v>71</v>
      </c>
      <c r="I92" t="s">
        <v>76</v>
      </c>
      <c r="J92" t="s">
        <v>72</v>
      </c>
    </row>
    <row r="93" spans="1:10" x14ac:dyDescent="0.25">
      <c r="A93" t="s">
        <v>112</v>
      </c>
      <c r="B93">
        <v>26</v>
      </c>
      <c r="C93">
        <v>11</v>
      </c>
      <c r="D93">
        <v>2018</v>
      </c>
      <c r="E93" t="s">
        <v>74</v>
      </c>
      <c r="F93" t="s">
        <v>82</v>
      </c>
      <c r="G93" s="2">
        <v>168</v>
      </c>
      <c r="H93" t="s">
        <v>84</v>
      </c>
      <c r="I93" t="s">
        <v>76</v>
      </c>
      <c r="J93" t="s">
        <v>72</v>
      </c>
    </row>
    <row r="94" spans="1:10" x14ac:dyDescent="0.25">
      <c r="A94" t="s">
        <v>118</v>
      </c>
      <c r="B94">
        <v>28</v>
      </c>
      <c r="C94">
        <v>11</v>
      </c>
      <c r="D94">
        <v>2018</v>
      </c>
      <c r="E94" t="s">
        <v>92</v>
      </c>
      <c r="F94" t="s">
        <v>87</v>
      </c>
      <c r="G94" s="2">
        <v>221</v>
      </c>
      <c r="H94" t="s">
        <v>119</v>
      </c>
      <c r="I94" t="s">
        <v>76</v>
      </c>
      <c r="J94" t="s">
        <v>88</v>
      </c>
    </row>
    <row r="95" spans="1:10" x14ac:dyDescent="0.25">
      <c r="A95" t="s">
        <v>126</v>
      </c>
      <c r="B95">
        <v>28</v>
      </c>
      <c r="C95">
        <v>11</v>
      </c>
      <c r="D95">
        <v>2018</v>
      </c>
      <c r="E95" t="s">
        <v>74</v>
      </c>
      <c r="F95" t="s">
        <v>75</v>
      </c>
      <c r="G95" s="2" t="s">
        <v>84</v>
      </c>
      <c r="H95" t="s">
        <v>76</v>
      </c>
      <c r="I95" t="s">
        <v>72</v>
      </c>
    </row>
    <row r="96" spans="1:10" x14ac:dyDescent="0.25">
      <c r="A96" t="s">
        <v>101</v>
      </c>
      <c r="B96">
        <v>28</v>
      </c>
      <c r="C96">
        <v>11</v>
      </c>
      <c r="D96">
        <v>2018</v>
      </c>
      <c r="E96" t="s">
        <v>69</v>
      </c>
      <c r="F96" t="s">
        <v>70</v>
      </c>
      <c r="G96" s="2">
        <v>7</v>
      </c>
      <c r="H96" t="s">
        <v>110</v>
      </c>
      <c r="I96" t="s">
        <v>72</v>
      </c>
      <c r="J96" t="s">
        <v>72</v>
      </c>
    </row>
    <row r="97" spans="1:10" x14ac:dyDescent="0.25">
      <c r="A97" t="s">
        <v>101</v>
      </c>
      <c r="B97">
        <v>28</v>
      </c>
      <c r="C97">
        <v>11</v>
      </c>
      <c r="D97">
        <v>2018</v>
      </c>
      <c r="E97" t="s">
        <v>74</v>
      </c>
      <c r="F97" t="s">
        <v>82</v>
      </c>
      <c r="G97" s="2">
        <v>23</v>
      </c>
      <c r="H97" t="s">
        <v>110</v>
      </c>
      <c r="I97" t="s">
        <v>76</v>
      </c>
      <c r="J97" t="s">
        <v>72</v>
      </c>
    </row>
    <row r="98" spans="1:10" x14ac:dyDescent="0.25">
      <c r="A98" t="s">
        <v>78</v>
      </c>
      <c r="B98">
        <v>30</v>
      </c>
      <c r="C98">
        <v>11</v>
      </c>
      <c r="D98">
        <v>2018</v>
      </c>
      <c r="E98" t="s">
        <v>79</v>
      </c>
      <c r="F98" t="s">
        <v>90</v>
      </c>
      <c r="G98" s="2">
        <v>530</v>
      </c>
      <c r="H98" t="s">
        <v>81</v>
      </c>
      <c r="I98" t="s">
        <v>72</v>
      </c>
      <c r="J98" t="s">
        <v>88</v>
      </c>
    </row>
    <row r="99" spans="1:10" x14ac:dyDescent="0.25">
      <c r="A99" t="s">
        <v>91</v>
      </c>
      <c r="B99">
        <v>30</v>
      </c>
      <c r="C99">
        <v>11</v>
      </c>
      <c r="D99">
        <v>2018</v>
      </c>
      <c r="E99" t="s">
        <v>92</v>
      </c>
      <c r="F99" t="s">
        <v>87</v>
      </c>
      <c r="G99" s="2">
        <v>309</v>
      </c>
      <c r="H99" t="s">
        <v>93</v>
      </c>
      <c r="I99" t="s">
        <v>88</v>
      </c>
      <c r="J99" t="s">
        <v>76</v>
      </c>
    </row>
    <row r="100" spans="1:10" x14ac:dyDescent="0.25">
      <c r="A100" t="s">
        <v>102</v>
      </c>
      <c r="B100">
        <v>30</v>
      </c>
      <c r="C100">
        <v>11</v>
      </c>
      <c r="D100">
        <v>2018</v>
      </c>
      <c r="E100" t="s">
        <v>69</v>
      </c>
      <c r="F100" t="s">
        <v>70</v>
      </c>
      <c r="G100" s="2">
        <v>33</v>
      </c>
      <c r="H100" t="s">
        <v>89</v>
      </c>
      <c r="I100" t="s">
        <v>72</v>
      </c>
      <c r="J100" t="s">
        <v>72</v>
      </c>
    </row>
    <row r="101" spans="1:10" x14ac:dyDescent="0.25">
      <c r="A101" t="s">
        <v>127</v>
      </c>
      <c r="B101">
        <v>1</v>
      </c>
      <c r="C101">
        <v>12</v>
      </c>
      <c r="D101">
        <v>2018</v>
      </c>
      <c r="E101" t="s">
        <v>74</v>
      </c>
      <c r="F101" t="s">
        <v>87</v>
      </c>
      <c r="G101" s="2">
        <v>52</v>
      </c>
      <c r="H101" t="s">
        <v>89</v>
      </c>
      <c r="I101" t="s">
        <v>76</v>
      </c>
      <c r="J101" t="s">
        <v>72</v>
      </c>
    </row>
    <row r="102" spans="1:10" x14ac:dyDescent="0.25">
      <c r="A102" t="s">
        <v>68</v>
      </c>
      <c r="B102">
        <v>1</v>
      </c>
      <c r="C102">
        <v>12</v>
      </c>
      <c r="D102">
        <v>2018</v>
      </c>
      <c r="E102" t="s">
        <v>69</v>
      </c>
      <c r="F102" t="s">
        <v>70</v>
      </c>
      <c r="G102" s="2">
        <v>21</v>
      </c>
      <c r="H102" t="s">
        <v>71</v>
      </c>
      <c r="I102" t="s">
        <v>72</v>
      </c>
      <c r="J102" t="s">
        <v>72</v>
      </c>
    </row>
    <row r="103" spans="1:10" x14ac:dyDescent="0.25">
      <c r="A103" t="s">
        <v>91</v>
      </c>
      <c r="B103">
        <v>1</v>
      </c>
      <c r="C103">
        <v>12</v>
      </c>
      <c r="D103">
        <v>2018</v>
      </c>
      <c r="E103" t="s">
        <v>92</v>
      </c>
      <c r="F103" t="s">
        <v>87</v>
      </c>
      <c r="G103" s="2">
        <v>146</v>
      </c>
      <c r="H103" t="s">
        <v>93</v>
      </c>
      <c r="I103" t="s">
        <v>88</v>
      </c>
      <c r="J103" t="s">
        <v>76</v>
      </c>
    </row>
    <row r="104" spans="1:10" x14ac:dyDescent="0.25">
      <c r="A104" t="s">
        <v>128</v>
      </c>
      <c r="B104">
        <v>1</v>
      </c>
      <c r="C104">
        <v>12</v>
      </c>
      <c r="D104">
        <v>2018</v>
      </c>
      <c r="E104" t="s">
        <v>74</v>
      </c>
      <c r="F104" t="s">
        <v>82</v>
      </c>
      <c r="G104" s="2">
        <v>16</v>
      </c>
      <c r="H104" t="s">
        <v>71</v>
      </c>
      <c r="I104" t="s">
        <v>76</v>
      </c>
      <c r="J104" t="s">
        <v>72</v>
      </c>
    </row>
    <row r="105" spans="1:10" x14ac:dyDescent="0.25">
      <c r="G105" s="2"/>
    </row>
    <row r="106" spans="1:10" x14ac:dyDescent="0.25">
      <c r="G106" s="2"/>
    </row>
    <row r="107" spans="1:10" x14ac:dyDescent="0.25">
      <c r="G107" s="2"/>
    </row>
    <row r="108" spans="1:10" x14ac:dyDescent="0.25">
      <c r="G108" s="2"/>
    </row>
    <row r="109" spans="1:10" x14ac:dyDescent="0.25">
      <c r="G109" s="2"/>
    </row>
    <row r="110" spans="1:10" x14ac:dyDescent="0.25">
      <c r="G110" s="2"/>
    </row>
    <row r="111" spans="1:10" x14ac:dyDescent="0.25">
      <c r="G111" s="2"/>
    </row>
    <row r="112" spans="1:10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</sheetData>
  <autoFilter ref="A2:J62" xr:uid="{4328BDD0-A1F2-4078-A929-BAE02A2CA132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735AA-1A00-4FB8-9C2A-491D6F9395CB}">
  <sheetPr codeName="Sheet5"/>
  <dimension ref="A1:N31"/>
  <sheetViews>
    <sheetView tabSelected="1" workbookViewId="0">
      <selection activeCell="R21" sqref="R21"/>
    </sheetView>
  </sheetViews>
  <sheetFormatPr defaultRowHeight="15" x14ac:dyDescent="0.25"/>
  <cols>
    <col min="1" max="1" width="26.7109375" customWidth="1"/>
    <col min="2" max="2" width="4.28515625" customWidth="1"/>
    <col min="3" max="3" width="7.42578125" customWidth="1"/>
    <col min="4" max="4" width="5.28515625" customWidth="1"/>
    <col min="5" max="5" width="11.28515625" customWidth="1"/>
    <col min="6" max="6" width="6.42578125" customWidth="1"/>
    <col min="7" max="7" width="9.7109375" customWidth="1"/>
    <col min="9" max="9" width="11.85546875" customWidth="1"/>
    <col min="10" max="10" width="11.7109375" customWidth="1"/>
    <col min="12" max="12" width="11.5703125" bestFit="1" customWidth="1"/>
    <col min="13" max="13" width="11.7109375" customWidth="1"/>
    <col min="14" max="14" width="11.5703125" bestFit="1" customWidth="1"/>
  </cols>
  <sheetData>
    <row r="1" spans="1:14" ht="23.25" x14ac:dyDescent="0.35">
      <c r="A1" s="6" t="s">
        <v>50</v>
      </c>
    </row>
    <row r="2" spans="1:14" x14ac:dyDescent="0.25">
      <c r="A2" s="3" t="s">
        <v>19</v>
      </c>
      <c r="B2" s="3" t="s">
        <v>20</v>
      </c>
      <c r="C2" s="3" t="s">
        <v>28</v>
      </c>
      <c r="D2" s="3" t="s">
        <v>21</v>
      </c>
      <c r="E2" s="3" t="s">
        <v>22</v>
      </c>
      <c r="F2" s="3" t="s">
        <v>23</v>
      </c>
      <c r="G2" s="3" t="s">
        <v>24</v>
      </c>
      <c r="H2" s="3" t="s">
        <v>25</v>
      </c>
      <c r="I2" s="3" t="s">
        <v>26</v>
      </c>
      <c r="J2" s="3" t="s">
        <v>27</v>
      </c>
    </row>
    <row r="3" spans="1:14" x14ac:dyDescent="0.25">
      <c r="A3" t="s">
        <v>108</v>
      </c>
      <c r="B3">
        <v>2</v>
      </c>
      <c r="C3">
        <v>12</v>
      </c>
      <c r="D3">
        <v>2018</v>
      </c>
      <c r="E3" t="s">
        <v>69</v>
      </c>
      <c r="F3" t="s">
        <v>70</v>
      </c>
      <c r="G3" s="2">
        <v>8</v>
      </c>
      <c r="H3" t="s">
        <v>71</v>
      </c>
      <c r="I3" t="s">
        <v>72</v>
      </c>
      <c r="J3" t="s">
        <v>72</v>
      </c>
    </row>
    <row r="4" spans="1:14" x14ac:dyDescent="0.25">
      <c r="A4" t="s">
        <v>115</v>
      </c>
      <c r="B4">
        <v>2</v>
      </c>
      <c r="C4">
        <v>12</v>
      </c>
      <c r="D4">
        <v>2018</v>
      </c>
      <c r="E4" t="s">
        <v>69</v>
      </c>
      <c r="F4" t="s">
        <v>70</v>
      </c>
      <c r="G4" s="2">
        <v>51</v>
      </c>
      <c r="H4" t="s">
        <v>89</v>
      </c>
      <c r="I4" t="s">
        <v>72</v>
      </c>
      <c r="J4" t="s">
        <v>72</v>
      </c>
    </row>
    <row r="5" spans="1:14" x14ac:dyDescent="0.25">
      <c r="A5" t="s">
        <v>99</v>
      </c>
      <c r="B5">
        <v>2</v>
      </c>
      <c r="C5">
        <v>12</v>
      </c>
      <c r="D5">
        <v>2018</v>
      </c>
      <c r="E5" t="s">
        <v>69</v>
      </c>
      <c r="F5" t="s">
        <v>70</v>
      </c>
      <c r="G5" s="2">
        <v>157</v>
      </c>
      <c r="H5" t="s">
        <v>89</v>
      </c>
      <c r="I5" t="s">
        <v>72</v>
      </c>
      <c r="J5" t="s">
        <v>72</v>
      </c>
    </row>
    <row r="6" spans="1:14" x14ac:dyDescent="0.25">
      <c r="A6" t="s">
        <v>95</v>
      </c>
      <c r="B6">
        <v>2</v>
      </c>
      <c r="C6">
        <v>12</v>
      </c>
      <c r="D6">
        <v>2018</v>
      </c>
      <c r="E6" t="s">
        <v>74</v>
      </c>
      <c r="F6" t="s">
        <v>75</v>
      </c>
      <c r="G6" s="2">
        <v>86</v>
      </c>
      <c r="H6" t="s">
        <v>84</v>
      </c>
      <c r="I6" t="s">
        <v>76</v>
      </c>
      <c r="J6" t="s">
        <v>72</v>
      </c>
      <c r="L6" s="3" t="s">
        <v>38</v>
      </c>
      <c r="N6" s="3" t="s">
        <v>39</v>
      </c>
    </row>
    <row r="7" spans="1:14" x14ac:dyDescent="0.25">
      <c r="A7" t="s">
        <v>118</v>
      </c>
      <c r="B7">
        <v>2</v>
      </c>
      <c r="C7">
        <v>12</v>
      </c>
      <c r="D7">
        <v>2018</v>
      </c>
      <c r="E7" t="s">
        <v>92</v>
      </c>
      <c r="F7" t="s">
        <v>87</v>
      </c>
      <c r="G7" s="2">
        <v>90</v>
      </c>
      <c r="H7" t="s">
        <v>119</v>
      </c>
      <c r="I7" t="s">
        <v>76</v>
      </c>
      <c r="J7" t="s">
        <v>88</v>
      </c>
      <c r="L7" s="2">
        <f>SUMIF(E3:E86,"Out",G3:G86)</f>
        <v>1807</v>
      </c>
      <c r="N7" s="2">
        <f>SUMIF(E3:E106,"In",G3:G106)</f>
        <v>159</v>
      </c>
    </row>
    <row r="8" spans="1:14" x14ac:dyDescent="0.25">
      <c r="A8" t="s">
        <v>109</v>
      </c>
      <c r="B8">
        <v>2</v>
      </c>
      <c r="C8">
        <v>12</v>
      </c>
      <c r="D8">
        <v>2018</v>
      </c>
      <c r="E8" t="s">
        <v>69</v>
      </c>
      <c r="F8" t="s">
        <v>70</v>
      </c>
      <c r="G8" s="2">
        <v>12</v>
      </c>
      <c r="H8" t="s">
        <v>110</v>
      </c>
      <c r="I8" t="s">
        <v>72</v>
      </c>
      <c r="J8" t="s">
        <v>72</v>
      </c>
    </row>
    <row r="9" spans="1:14" x14ac:dyDescent="0.25">
      <c r="A9" t="s">
        <v>98</v>
      </c>
      <c r="B9">
        <v>2</v>
      </c>
      <c r="C9">
        <v>12</v>
      </c>
      <c r="D9">
        <v>2018</v>
      </c>
      <c r="E9" t="s">
        <v>74</v>
      </c>
      <c r="F9" t="s">
        <v>82</v>
      </c>
      <c r="G9" s="2">
        <v>60</v>
      </c>
      <c r="H9" t="s">
        <v>77</v>
      </c>
      <c r="I9" t="s">
        <v>76</v>
      </c>
      <c r="L9" s="3" t="s">
        <v>40</v>
      </c>
    </row>
    <row r="10" spans="1:14" x14ac:dyDescent="0.25">
      <c r="A10" t="s">
        <v>112</v>
      </c>
      <c r="B10">
        <v>2</v>
      </c>
      <c r="C10">
        <v>12</v>
      </c>
      <c r="D10">
        <v>2018</v>
      </c>
      <c r="E10" t="s">
        <v>74</v>
      </c>
      <c r="F10" t="s">
        <v>82</v>
      </c>
      <c r="G10" s="2">
        <v>173</v>
      </c>
      <c r="H10" t="s">
        <v>84</v>
      </c>
      <c r="I10" t="s">
        <v>76</v>
      </c>
      <c r="J10" t="s">
        <v>72</v>
      </c>
      <c r="L10" s="2">
        <f>N7-L7</f>
        <v>-1648</v>
      </c>
    </row>
    <row r="11" spans="1:14" x14ac:dyDescent="0.25">
      <c r="A11" t="s">
        <v>86</v>
      </c>
      <c r="B11">
        <v>2</v>
      </c>
      <c r="C11">
        <v>12</v>
      </c>
      <c r="D11">
        <v>2018</v>
      </c>
      <c r="E11" t="s">
        <v>74</v>
      </c>
      <c r="F11" t="s">
        <v>87</v>
      </c>
      <c r="G11" s="2">
        <v>402</v>
      </c>
      <c r="H11" t="s">
        <v>111</v>
      </c>
      <c r="I11" t="s">
        <v>72</v>
      </c>
      <c r="J11" t="s">
        <v>72</v>
      </c>
    </row>
    <row r="12" spans="1:14" x14ac:dyDescent="0.25">
      <c r="A12" t="s">
        <v>86</v>
      </c>
      <c r="B12">
        <v>6</v>
      </c>
      <c r="C12">
        <v>12</v>
      </c>
      <c r="D12">
        <v>2018</v>
      </c>
      <c r="E12" t="s">
        <v>74</v>
      </c>
      <c r="F12" t="s">
        <v>87</v>
      </c>
      <c r="G12" s="2">
        <v>328</v>
      </c>
      <c r="H12" t="s">
        <v>111</v>
      </c>
      <c r="I12" t="s">
        <v>72</v>
      </c>
      <c r="J12" t="s">
        <v>72</v>
      </c>
      <c r="L12" s="3" t="s">
        <v>43</v>
      </c>
      <c r="N12" s="3" t="s">
        <v>42</v>
      </c>
    </row>
    <row r="13" spans="1:14" x14ac:dyDescent="0.25">
      <c r="A13" t="s">
        <v>118</v>
      </c>
      <c r="B13">
        <v>6</v>
      </c>
      <c r="C13">
        <v>12</v>
      </c>
      <c r="D13">
        <v>2018</v>
      </c>
      <c r="E13" t="s">
        <v>92</v>
      </c>
      <c r="F13" t="s">
        <v>87</v>
      </c>
      <c r="G13" s="2">
        <v>131</v>
      </c>
      <c r="H13" t="s">
        <v>119</v>
      </c>
      <c r="I13" t="s">
        <v>76</v>
      </c>
      <c r="J13" t="s">
        <v>88</v>
      </c>
      <c r="L13" s="2">
        <f>SUMIF(E3:E80,"C",G3:G80)</f>
        <v>413</v>
      </c>
      <c r="N13" s="2">
        <f>SUMIF(A3:A166,"Credit Card Payment",G3:G166)</f>
        <v>0</v>
      </c>
    </row>
    <row r="14" spans="1:14" x14ac:dyDescent="0.25">
      <c r="A14" t="s">
        <v>105</v>
      </c>
      <c r="B14">
        <v>6</v>
      </c>
      <c r="C14">
        <v>12</v>
      </c>
      <c r="D14">
        <v>2018</v>
      </c>
      <c r="E14" t="s">
        <v>69</v>
      </c>
      <c r="F14" t="s">
        <v>70</v>
      </c>
      <c r="G14" s="2">
        <v>11</v>
      </c>
      <c r="H14" t="s">
        <v>71</v>
      </c>
      <c r="I14" t="s">
        <v>72</v>
      </c>
      <c r="J14" t="s">
        <v>72</v>
      </c>
    </row>
    <row r="15" spans="1:14" x14ac:dyDescent="0.25">
      <c r="A15" t="s">
        <v>86</v>
      </c>
      <c r="B15">
        <v>6</v>
      </c>
      <c r="C15">
        <v>12</v>
      </c>
      <c r="D15">
        <v>2018</v>
      </c>
      <c r="E15" t="s">
        <v>74</v>
      </c>
      <c r="F15" t="s">
        <v>87</v>
      </c>
      <c r="G15" s="2">
        <v>387</v>
      </c>
      <c r="H15" t="s">
        <v>111</v>
      </c>
      <c r="I15" t="s">
        <v>72</v>
      </c>
      <c r="J15" t="s">
        <v>72</v>
      </c>
      <c r="L15" s="3" t="s">
        <v>41</v>
      </c>
    </row>
    <row r="16" spans="1:14" x14ac:dyDescent="0.25">
      <c r="A16" t="s">
        <v>129</v>
      </c>
      <c r="B16">
        <v>6</v>
      </c>
      <c r="C16">
        <v>12</v>
      </c>
      <c r="D16">
        <v>2018</v>
      </c>
      <c r="E16" t="s">
        <v>69</v>
      </c>
      <c r="F16" t="s">
        <v>70</v>
      </c>
      <c r="G16" s="2">
        <v>126</v>
      </c>
      <c r="H16" t="s">
        <v>77</v>
      </c>
      <c r="I16" t="s">
        <v>72</v>
      </c>
      <c r="J16" t="s">
        <v>72</v>
      </c>
      <c r="L16" s="2">
        <f>(N13-L13)+1490</f>
        <v>1077</v>
      </c>
    </row>
    <row r="17" spans="1:14" x14ac:dyDescent="0.25">
      <c r="A17" t="s">
        <v>130</v>
      </c>
      <c r="B17">
        <v>6</v>
      </c>
      <c r="C17">
        <v>12</v>
      </c>
      <c r="D17">
        <v>2018</v>
      </c>
      <c r="E17" t="s">
        <v>74</v>
      </c>
      <c r="F17" t="s">
        <v>82</v>
      </c>
      <c r="G17" s="2">
        <v>289</v>
      </c>
      <c r="H17" t="s">
        <v>77</v>
      </c>
      <c r="I17" t="s">
        <v>76</v>
      </c>
      <c r="J17" t="s">
        <v>72</v>
      </c>
    </row>
    <row r="18" spans="1:14" x14ac:dyDescent="0.25">
      <c r="A18" t="s">
        <v>116</v>
      </c>
      <c r="B18">
        <v>6</v>
      </c>
      <c r="C18">
        <v>12</v>
      </c>
      <c r="D18">
        <v>2018</v>
      </c>
      <c r="E18" t="s">
        <v>69</v>
      </c>
      <c r="F18" t="s">
        <v>70</v>
      </c>
      <c r="G18" s="2">
        <v>2</v>
      </c>
      <c r="H18" t="s">
        <v>71</v>
      </c>
      <c r="I18" t="s">
        <v>72</v>
      </c>
      <c r="J18" t="s">
        <v>72</v>
      </c>
      <c r="L18" s="3" t="s">
        <v>48</v>
      </c>
    </row>
    <row r="19" spans="1:14" x14ac:dyDescent="0.25">
      <c r="A19" t="s">
        <v>126</v>
      </c>
      <c r="B19">
        <v>6</v>
      </c>
      <c r="C19">
        <v>12</v>
      </c>
      <c r="D19">
        <v>2018</v>
      </c>
      <c r="E19" t="s">
        <v>69</v>
      </c>
      <c r="F19" t="s">
        <v>70</v>
      </c>
      <c r="G19" s="2">
        <v>28</v>
      </c>
      <c r="H19" t="s">
        <v>84</v>
      </c>
      <c r="I19" t="s">
        <v>72</v>
      </c>
      <c r="J19" t="s">
        <v>72</v>
      </c>
      <c r="L19" s="2">
        <f>L10-L16</f>
        <v>-2725</v>
      </c>
    </row>
    <row r="20" spans="1:14" x14ac:dyDescent="0.25">
      <c r="A20" t="s">
        <v>101</v>
      </c>
      <c r="B20">
        <v>6</v>
      </c>
      <c r="C20">
        <v>12</v>
      </c>
      <c r="D20">
        <v>2018</v>
      </c>
      <c r="E20" t="s">
        <v>74</v>
      </c>
      <c r="F20" t="s">
        <v>82</v>
      </c>
      <c r="G20" s="2">
        <v>10</v>
      </c>
      <c r="H20" t="s">
        <v>110</v>
      </c>
      <c r="I20" t="s">
        <v>76</v>
      </c>
      <c r="J20" t="s">
        <v>72</v>
      </c>
    </row>
    <row r="21" spans="1:14" x14ac:dyDescent="0.25">
      <c r="A21" t="s">
        <v>124</v>
      </c>
      <c r="B21">
        <v>8</v>
      </c>
      <c r="C21">
        <v>12</v>
      </c>
      <c r="D21">
        <v>2018</v>
      </c>
      <c r="E21" t="s">
        <v>69</v>
      </c>
      <c r="F21" t="s">
        <v>70</v>
      </c>
      <c r="G21" s="2">
        <v>1</v>
      </c>
      <c r="H21" t="s">
        <v>77</v>
      </c>
      <c r="I21" t="s">
        <v>72</v>
      </c>
      <c r="J21" t="s">
        <v>72</v>
      </c>
      <c r="L21" s="4" t="s">
        <v>49</v>
      </c>
    </row>
    <row r="22" spans="1:14" x14ac:dyDescent="0.25">
      <c r="A22" t="s">
        <v>122</v>
      </c>
      <c r="B22">
        <v>8</v>
      </c>
      <c r="C22">
        <v>12</v>
      </c>
      <c r="D22">
        <v>2018</v>
      </c>
      <c r="E22" t="s">
        <v>74</v>
      </c>
      <c r="F22" t="s">
        <v>87</v>
      </c>
      <c r="G22" s="2">
        <v>72</v>
      </c>
      <c r="H22" t="s">
        <v>84</v>
      </c>
      <c r="I22" t="s">
        <v>76</v>
      </c>
      <c r="J22" t="s">
        <v>72</v>
      </c>
      <c r="L22" s="3" t="s">
        <v>44</v>
      </c>
      <c r="N22" s="3" t="s">
        <v>45</v>
      </c>
    </row>
    <row r="23" spans="1:14" x14ac:dyDescent="0.25">
      <c r="A23" t="s">
        <v>131</v>
      </c>
      <c r="B23">
        <v>8</v>
      </c>
      <c r="C23">
        <v>12</v>
      </c>
      <c r="D23">
        <v>2018</v>
      </c>
      <c r="E23" t="s">
        <v>69</v>
      </c>
      <c r="F23" t="s">
        <v>70</v>
      </c>
      <c r="G23" s="2">
        <v>17</v>
      </c>
      <c r="H23" t="s">
        <v>72</v>
      </c>
      <c r="I23" t="s">
        <v>72</v>
      </c>
      <c r="L23" s="2">
        <v>13263</v>
      </c>
      <c r="N23" s="2">
        <v>58404</v>
      </c>
    </row>
    <row r="24" spans="1:14" x14ac:dyDescent="0.25">
      <c r="A24" t="s">
        <v>78</v>
      </c>
      <c r="B24">
        <v>8</v>
      </c>
      <c r="C24">
        <v>12</v>
      </c>
      <c r="D24">
        <v>2018</v>
      </c>
      <c r="E24" t="s">
        <v>79</v>
      </c>
      <c r="F24" t="s">
        <v>75</v>
      </c>
      <c r="G24" s="2">
        <v>159</v>
      </c>
      <c r="H24" t="s">
        <v>81</v>
      </c>
      <c r="I24" t="s">
        <v>72</v>
      </c>
      <c r="J24" t="s">
        <v>76</v>
      </c>
    </row>
    <row r="25" spans="1:14" x14ac:dyDescent="0.25">
      <c r="G25" s="2"/>
      <c r="L25" s="3" t="s">
        <v>46</v>
      </c>
      <c r="N25" s="3" t="s">
        <v>47</v>
      </c>
    </row>
    <row r="26" spans="1:14" x14ac:dyDescent="0.25">
      <c r="G26" s="2"/>
      <c r="L26" s="2">
        <f>(L23+(SUMIF(J3:J138,"Checking",G3:G138))-SUMIF(I3:I138,"Checking",G3:G138))</f>
        <v>12511</v>
      </c>
      <c r="N26" s="2">
        <f>(N23+(SUMIF(J3:J138,"Savings",G3:G138))-SUMIF(I3:I138,"Savings",G3:G138))</f>
        <v>58625</v>
      </c>
    </row>
    <row r="27" spans="1:14" x14ac:dyDescent="0.25">
      <c r="G27" s="2"/>
      <c r="L27" s="2"/>
      <c r="N27" s="2"/>
    </row>
    <row r="28" spans="1:14" x14ac:dyDescent="0.25">
      <c r="G28" s="2"/>
    </row>
    <row r="29" spans="1:14" x14ac:dyDescent="0.25">
      <c r="G29" s="2"/>
    </row>
    <row r="30" spans="1:14" x14ac:dyDescent="0.25">
      <c r="G30" s="2"/>
    </row>
    <row r="31" spans="1:14" x14ac:dyDescent="0.25">
      <c r="G31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3FA0B-6F39-4201-9A73-48BEE4D40716}">
  <sheetPr codeName="Sheet6"/>
  <dimension ref="A1:N31"/>
  <sheetViews>
    <sheetView workbookViewId="0">
      <selection activeCell="H15" sqref="H15"/>
    </sheetView>
  </sheetViews>
  <sheetFormatPr defaultRowHeight="15" x14ac:dyDescent="0.25"/>
  <cols>
    <col min="1" max="1" width="26.7109375" customWidth="1"/>
    <col min="2" max="2" width="4.28515625" customWidth="1"/>
    <col min="3" max="3" width="7.42578125" customWidth="1"/>
    <col min="4" max="4" width="5.28515625" customWidth="1"/>
    <col min="5" max="5" width="11.28515625" customWidth="1"/>
    <col min="6" max="6" width="6.42578125" customWidth="1"/>
    <col min="7" max="7" width="9.7109375" customWidth="1"/>
    <col min="9" max="9" width="11.85546875" customWidth="1"/>
    <col min="10" max="10" width="11.7109375" customWidth="1"/>
    <col min="12" max="12" width="10.5703125" bestFit="1" customWidth="1"/>
    <col min="13" max="13" width="11.7109375" customWidth="1"/>
    <col min="14" max="14" width="11.5703125" bestFit="1" customWidth="1"/>
  </cols>
  <sheetData>
    <row r="1" spans="1:14" ht="23.25" x14ac:dyDescent="0.35">
      <c r="A1" s="6" t="s">
        <v>51</v>
      </c>
    </row>
    <row r="2" spans="1:14" x14ac:dyDescent="0.25">
      <c r="A2" s="3" t="s">
        <v>19</v>
      </c>
      <c r="B2" s="3" t="s">
        <v>20</v>
      </c>
      <c r="C2" s="3" t="s">
        <v>28</v>
      </c>
      <c r="D2" s="3" t="s">
        <v>21</v>
      </c>
      <c r="E2" s="3" t="s">
        <v>22</v>
      </c>
      <c r="F2" s="3" t="s">
        <v>23</v>
      </c>
      <c r="G2" s="3" t="s">
        <v>24</v>
      </c>
      <c r="H2" s="3" t="s">
        <v>25</v>
      </c>
      <c r="I2" s="3" t="s">
        <v>26</v>
      </c>
      <c r="J2" s="3" t="s">
        <v>27</v>
      </c>
    </row>
    <row r="3" spans="1:14" x14ac:dyDescent="0.25">
      <c r="G3" s="2"/>
    </row>
    <row r="4" spans="1:14" x14ac:dyDescent="0.25">
      <c r="G4" s="2"/>
    </row>
    <row r="5" spans="1:14" x14ac:dyDescent="0.25">
      <c r="G5" s="2"/>
    </row>
    <row r="6" spans="1:14" x14ac:dyDescent="0.25">
      <c r="G6" s="2"/>
      <c r="L6" s="3" t="s">
        <v>38</v>
      </c>
      <c r="N6" s="3" t="s">
        <v>39</v>
      </c>
    </row>
    <row r="7" spans="1:14" x14ac:dyDescent="0.25">
      <c r="G7" s="2"/>
      <c r="L7" s="2">
        <f>SUMIF(E3:E86,"Out",G3:G86)</f>
        <v>0</v>
      </c>
      <c r="N7" s="2">
        <f>SUMIF(E3:E106,"In",G3:G106)</f>
        <v>0</v>
      </c>
    </row>
    <row r="8" spans="1:14" x14ac:dyDescent="0.25">
      <c r="G8" s="2"/>
    </row>
    <row r="9" spans="1:14" x14ac:dyDescent="0.25">
      <c r="G9" s="2"/>
      <c r="L9" s="3" t="s">
        <v>40</v>
      </c>
    </row>
    <row r="10" spans="1:14" x14ac:dyDescent="0.25">
      <c r="G10" s="2"/>
      <c r="L10" s="2">
        <f>N7-L7</f>
        <v>0</v>
      </c>
    </row>
    <row r="11" spans="1:14" x14ac:dyDescent="0.25">
      <c r="G11" s="2"/>
    </row>
    <row r="12" spans="1:14" x14ac:dyDescent="0.25">
      <c r="G12" s="2"/>
      <c r="L12" s="3" t="s">
        <v>43</v>
      </c>
      <c r="N12" s="3" t="s">
        <v>42</v>
      </c>
    </row>
    <row r="13" spans="1:14" x14ac:dyDescent="0.25">
      <c r="G13" s="2"/>
      <c r="L13" s="2">
        <f>SUMIF(E3:E80,"C",G3:G80)</f>
        <v>0</v>
      </c>
      <c r="N13" s="2">
        <f>SUMIF(A3:A166,"Credit Card Payment",G3:G166)</f>
        <v>0</v>
      </c>
    </row>
    <row r="14" spans="1:14" x14ac:dyDescent="0.25">
      <c r="G14" s="2"/>
    </row>
    <row r="15" spans="1:14" x14ac:dyDescent="0.25">
      <c r="G15" s="2"/>
      <c r="L15" s="3" t="s">
        <v>41</v>
      </c>
    </row>
    <row r="16" spans="1:14" x14ac:dyDescent="0.25">
      <c r="G16" s="2"/>
      <c r="L16" s="2">
        <f>N13-L13</f>
        <v>0</v>
      </c>
    </row>
    <row r="17" spans="7:14" x14ac:dyDescent="0.25">
      <c r="G17" s="2"/>
    </row>
    <row r="18" spans="7:14" x14ac:dyDescent="0.25">
      <c r="G18" s="2"/>
      <c r="L18" s="3" t="s">
        <v>48</v>
      </c>
    </row>
    <row r="19" spans="7:14" x14ac:dyDescent="0.25">
      <c r="G19" s="2"/>
      <c r="L19" s="2">
        <f>L10-L16</f>
        <v>0</v>
      </c>
    </row>
    <row r="20" spans="7:14" x14ac:dyDescent="0.25">
      <c r="G20" s="2"/>
    </row>
    <row r="21" spans="7:14" x14ac:dyDescent="0.25">
      <c r="G21" s="2"/>
      <c r="L21" s="4" t="s">
        <v>49</v>
      </c>
    </row>
    <row r="22" spans="7:14" x14ac:dyDescent="0.25">
      <c r="G22" s="2"/>
      <c r="L22" s="3" t="s">
        <v>44</v>
      </c>
      <c r="N22" s="3" t="s">
        <v>45</v>
      </c>
    </row>
    <row r="23" spans="7:14" x14ac:dyDescent="0.25">
      <c r="G23" s="2"/>
      <c r="L23" s="2">
        <v>2000</v>
      </c>
      <c r="N23" s="2">
        <v>10000</v>
      </c>
    </row>
    <row r="24" spans="7:14" x14ac:dyDescent="0.25">
      <c r="G24" s="2"/>
    </row>
    <row r="25" spans="7:14" x14ac:dyDescent="0.25">
      <c r="G25" s="2"/>
      <c r="L25" s="3" t="s">
        <v>46</v>
      </c>
      <c r="N25" s="3" t="s">
        <v>47</v>
      </c>
    </row>
    <row r="26" spans="7:14" x14ac:dyDescent="0.25">
      <c r="G26" s="2"/>
      <c r="L26" s="2">
        <f>(L23+(SUMIF(J3:J138,"Checking",G3:G138))-SUMIF(I3:I138,"Checking",G3:G138))</f>
        <v>2000</v>
      </c>
      <c r="N26" s="2">
        <f>(N23+(SUMIF(J3:J138,"Savings",G3:G138))-SUMIF(I3:I138,"Savings",G3:G138))</f>
        <v>10000</v>
      </c>
    </row>
    <row r="27" spans="7:14" x14ac:dyDescent="0.25">
      <c r="G27" s="2"/>
      <c r="L27" s="2"/>
      <c r="N27" s="2"/>
    </row>
    <row r="28" spans="7:14" x14ac:dyDescent="0.25">
      <c r="G28" s="2"/>
    </row>
    <row r="29" spans="7:14" x14ac:dyDescent="0.25">
      <c r="G29" s="2"/>
    </row>
    <row r="30" spans="7:14" x14ac:dyDescent="0.25">
      <c r="G30" s="2"/>
    </row>
    <row r="31" spans="7:14" x14ac:dyDescent="0.25">
      <c r="G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70FBD-86B2-4136-8DBF-61737D125EFD}">
  <sheetPr codeName="Sheet7"/>
  <dimension ref="A1:N31"/>
  <sheetViews>
    <sheetView workbookViewId="0">
      <selection activeCell="I24" sqref="I24"/>
    </sheetView>
  </sheetViews>
  <sheetFormatPr defaultRowHeight="15" x14ac:dyDescent="0.25"/>
  <cols>
    <col min="1" max="1" width="26.7109375" customWidth="1"/>
    <col min="2" max="2" width="4.28515625" customWidth="1"/>
    <col min="3" max="3" width="7.42578125" customWidth="1"/>
    <col min="4" max="4" width="5.28515625" customWidth="1"/>
    <col min="5" max="5" width="11.28515625" customWidth="1"/>
    <col min="6" max="6" width="6.42578125" customWidth="1"/>
    <col min="7" max="7" width="9.7109375" customWidth="1"/>
    <col min="9" max="9" width="11.85546875" customWidth="1"/>
    <col min="10" max="10" width="11.7109375" customWidth="1"/>
    <col min="12" max="12" width="10.5703125" bestFit="1" customWidth="1"/>
    <col min="13" max="13" width="11.7109375" customWidth="1"/>
    <col min="14" max="14" width="11.5703125" bestFit="1" customWidth="1"/>
  </cols>
  <sheetData>
    <row r="1" spans="1:14" ht="23.25" x14ac:dyDescent="0.35">
      <c r="A1" s="6" t="s">
        <v>59</v>
      </c>
    </row>
    <row r="2" spans="1:14" x14ac:dyDescent="0.25">
      <c r="A2" s="3" t="s">
        <v>19</v>
      </c>
      <c r="B2" s="3" t="s">
        <v>20</v>
      </c>
      <c r="C2" s="3" t="s">
        <v>28</v>
      </c>
      <c r="D2" s="3" t="s">
        <v>21</v>
      </c>
      <c r="E2" s="3" t="s">
        <v>22</v>
      </c>
      <c r="F2" s="3" t="s">
        <v>23</v>
      </c>
      <c r="G2" s="3" t="s">
        <v>24</v>
      </c>
      <c r="H2" s="3" t="s">
        <v>25</v>
      </c>
      <c r="I2" s="3" t="s">
        <v>26</v>
      </c>
      <c r="J2" s="3" t="s">
        <v>27</v>
      </c>
    </row>
    <row r="3" spans="1:14" x14ac:dyDescent="0.25">
      <c r="G3" s="2"/>
    </row>
    <row r="4" spans="1:14" x14ac:dyDescent="0.25">
      <c r="G4" s="2"/>
    </row>
    <row r="5" spans="1:14" x14ac:dyDescent="0.25">
      <c r="G5" s="2"/>
    </row>
    <row r="6" spans="1:14" x14ac:dyDescent="0.25">
      <c r="G6" s="2"/>
      <c r="L6" s="3" t="s">
        <v>38</v>
      </c>
      <c r="N6" s="3" t="s">
        <v>39</v>
      </c>
    </row>
    <row r="7" spans="1:14" x14ac:dyDescent="0.25">
      <c r="G7" s="2"/>
      <c r="L7" s="2">
        <f>SUMIF(E3:E86,"Out",G3:G86)</f>
        <v>0</v>
      </c>
      <c r="N7" s="2">
        <f>SUMIF(E3:E106,"In",G3:G106)</f>
        <v>0</v>
      </c>
    </row>
    <row r="8" spans="1:14" x14ac:dyDescent="0.25">
      <c r="G8" s="2"/>
    </row>
    <row r="9" spans="1:14" x14ac:dyDescent="0.25">
      <c r="G9" s="2"/>
      <c r="L9" s="3" t="s">
        <v>40</v>
      </c>
    </row>
    <row r="10" spans="1:14" x14ac:dyDescent="0.25">
      <c r="G10" s="2"/>
      <c r="L10" s="2">
        <f>N7-L7</f>
        <v>0</v>
      </c>
    </row>
    <row r="11" spans="1:14" x14ac:dyDescent="0.25">
      <c r="G11" s="2"/>
    </row>
    <row r="12" spans="1:14" x14ac:dyDescent="0.25">
      <c r="G12" s="2"/>
      <c r="L12" s="3" t="s">
        <v>43</v>
      </c>
      <c r="N12" s="3" t="s">
        <v>42</v>
      </c>
    </row>
    <row r="13" spans="1:14" x14ac:dyDescent="0.25">
      <c r="G13" s="2"/>
      <c r="L13" s="2">
        <f>SUMIF(E3:E80,"C",G3:G80)</f>
        <v>0</v>
      </c>
      <c r="N13" s="2">
        <f>SUMIF(A3:A166,"Credit Card Payment",G3:G166)</f>
        <v>0</v>
      </c>
    </row>
    <row r="14" spans="1:14" x14ac:dyDescent="0.25">
      <c r="G14" s="2"/>
    </row>
    <row r="15" spans="1:14" x14ac:dyDescent="0.25">
      <c r="G15" s="2"/>
      <c r="L15" s="3" t="s">
        <v>41</v>
      </c>
    </row>
    <row r="16" spans="1:14" x14ac:dyDescent="0.25">
      <c r="G16" s="2"/>
      <c r="L16" s="2">
        <f>N13-L13</f>
        <v>0</v>
      </c>
    </row>
    <row r="17" spans="7:14" x14ac:dyDescent="0.25">
      <c r="G17" s="2"/>
    </row>
    <row r="18" spans="7:14" x14ac:dyDescent="0.25">
      <c r="G18" s="2"/>
      <c r="L18" s="3" t="s">
        <v>48</v>
      </c>
    </row>
    <row r="19" spans="7:14" x14ac:dyDescent="0.25">
      <c r="G19" s="2"/>
      <c r="L19" s="2">
        <f>L10-L16</f>
        <v>0</v>
      </c>
    </row>
    <row r="20" spans="7:14" x14ac:dyDescent="0.25">
      <c r="G20" s="2"/>
    </row>
    <row r="21" spans="7:14" x14ac:dyDescent="0.25">
      <c r="G21" s="2"/>
      <c r="L21" s="4" t="s">
        <v>49</v>
      </c>
    </row>
    <row r="22" spans="7:14" x14ac:dyDescent="0.25">
      <c r="G22" s="2"/>
      <c r="L22" s="3" t="s">
        <v>44</v>
      </c>
      <c r="N22" s="3" t="s">
        <v>45</v>
      </c>
    </row>
    <row r="23" spans="7:14" x14ac:dyDescent="0.25">
      <c r="G23" s="2"/>
      <c r="L23" s="2">
        <v>2000</v>
      </c>
      <c r="N23" s="2">
        <v>10000</v>
      </c>
    </row>
    <row r="24" spans="7:14" x14ac:dyDescent="0.25">
      <c r="G24" s="2"/>
    </row>
    <row r="25" spans="7:14" x14ac:dyDescent="0.25">
      <c r="G25" s="2"/>
      <c r="L25" s="3" t="s">
        <v>46</v>
      </c>
      <c r="N25" s="3" t="s">
        <v>47</v>
      </c>
    </row>
    <row r="26" spans="7:14" x14ac:dyDescent="0.25">
      <c r="G26" s="2"/>
      <c r="L26" s="2">
        <f>(L23+(SUMIF(J3:J138,"Checking",G3:G138))-SUMIF(I3:I138,"Checking",G3:G138))</f>
        <v>2000</v>
      </c>
      <c r="N26" s="2">
        <f>(N23+(SUMIF(J3:J138,"Savings",G3:G138))-SUMIF(I3:I138,"Savings",G3:G138))</f>
        <v>10000</v>
      </c>
    </row>
    <row r="27" spans="7:14" x14ac:dyDescent="0.25">
      <c r="G27" s="2"/>
      <c r="L27" s="2"/>
      <c r="N27" s="2"/>
    </row>
    <row r="28" spans="7:14" x14ac:dyDescent="0.25">
      <c r="G28" s="2"/>
    </row>
    <row r="29" spans="7:14" x14ac:dyDescent="0.25">
      <c r="G29" s="2"/>
    </row>
    <row r="30" spans="7:14" x14ac:dyDescent="0.25">
      <c r="G30" s="2"/>
    </row>
    <row r="31" spans="7:14" x14ac:dyDescent="0.25">
      <c r="G31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57BF0-9122-4ADE-B835-1B54B46B5C6E}">
  <sheetPr codeName="Sheet8"/>
  <dimension ref="A1:N31"/>
  <sheetViews>
    <sheetView workbookViewId="0">
      <selection activeCell="G15" sqref="G15"/>
    </sheetView>
  </sheetViews>
  <sheetFormatPr defaultRowHeight="15" x14ac:dyDescent="0.25"/>
  <cols>
    <col min="1" max="1" width="26.7109375" customWidth="1"/>
    <col min="2" max="2" width="4.28515625" customWidth="1"/>
    <col min="3" max="3" width="7.42578125" customWidth="1"/>
    <col min="4" max="4" width="5.28515625" customWidth="1"/>
    <col min="5" max="5" width="11.28515625" customWidth="1"/>
    <col min="6" max="6" width="6.42578125" customWidth="1"/>
    <col min="7" max="7" width="9.7109375" customWidth="1"/>
    <col min="9" max="9" width="11.85546875" customWidth="1"/>
    <col min="10" max="10" width="11.7109375" customWidth="1"/>
    <col min="12" max="12" width="10.5703125" bestFit="1" customWidth="1"/>
    <col min="13" max="13" width="11.7109375" customWidth="1"/>
    <col min="14" max="14" width="11.5703125" bestFit="1" customWidth="1"/>
  </cols>
  <sheetData>
    <row r="1" spans="1:14" ht="23.25" x14ac:dyDescent="0.35">
      <c r="A1" s="6" t="s">
        <v>60</v>
      </c>
    </row>
    <row r="2" spans="1:14" x14ac:dyDescent="0.25">
      <c r="A2" s="3" t="s">
        <v>19</v>
      </c>
      <c r="B2" s="3" t="s">
        <v>20</v>
      </c>
      <c r="C2" s="3" t="s">
        <v>28</v>
      </c>
      <c r="D2" s="3" t="s">
        <v>21</v>
      </c>
      <c r="E2" s="3" t="s">
        <v>22</v>
      </c>
      <c r="F2" s="3" t="s">
        <v>23</v>
      </c>
      <c r="G2" s="3" t="s">
        <v>24</v>
      </c>
      <c r="H2" s="3" t="s">
        <v>25</v>
      </c>
      <c r="I2" s="3" t="s">
        <v>26</v>
      </c>
      <c r="J2" s="3" t="s">
        <v>27</v>
      </c>
    </row>
    <row r="3" spans="1:14" x14ac:dyDescent="0.25">
      <c r="G3" s="2"/>
    </row>
    <row r="4" spans="1:14" x14ac:dyDescent="0.25">
      <c r="G4" s="2"/>
    </row>
    <row r="5" spans="1:14" x14ac:dyDescent="0.25">
      <c r="G5" s="2"/>
    </row>
    <row r="6" spans="1:14" x14ac:dyDescent="0.25">
      <c r="G6" s="2"/>
      <c r="L6" s="3" t="s">
        <v>38</v>
      </c>
      <c r="N6" s="3" t="s">
        <v>39</v>
      </c>
    </row>
    <row r="7" spans="1:14" x14ac:dyDescent="0.25">
      <c r="G7" s="2"/>
      <c r="L7" s="2">
        <f>SUMIF(E3:E86,"Out",G3:G86)</f>
        <v>0</v>
      </c>
      <c r="N7" s="2">
        <f>SUMIF(E3:E106,"In",G3:G106)</f>
        <v>0</v>
      </c>
    </row>
    <row r="8" spans="1:14" x14ac:dyDescent="0.25">
      <c r="G8" s="2"/>
    </row>
    <row r="9" spans="1:14" x14ac:dyDescent="0.25">
      <c r="G9" s="2"/>
      <c r="L9" s="3" t="s">
        <v>40</v>
      </c>
    </row>
    <row r="10" spans="1:14" x14ac:dyDescent="0.25">
      <c r="G10" s="2"/>
      <c r="L10" s="2">
        <f>N7-L7</f>
        <v>0</v>
      </c>
    </row>
    <row r="11" spans="1:14" x14ac:dyDescent="0.25">
      <c r="G11" s="2"/>
    </row>
    <row r="12" spans="1:14" x14ac:dyDescent="0.25">
      <c r="G12" s="2"/>
      <c r="L12" s="3" t="s">
        <v>43</v>
      </c>
      <c r="N12" s="3" t="s">
        <v>42</v>
      </c>
    </row>
    <row r="13" spans="1:14" x14ac:dyDescent="0.25">
      <c r="G13" s="2"/>
      <c r="L13" s="2">
        <f>SUMIF(E3:E80,"C",G3:G80)</f>
        <v>0</v>
      </c>
      <c r="N13" s="2">
        <f>SUMIF(A3:A166,"Credit Card Payment",G3:G166)</f>
        <v>0</v>
      </c>
    </row>
    <row r="14" spans="1:14" x14ac:dyDescent="0.25">
      <c r="G14" s="2"/>
    </row>
    <row r="15" spans="1:14" x14ac:dyDescent="0.25">
      <c r="G15" s="2"/>
      <c r="L15" s="3" t="s">
        <v>41</v>
      </c>
    </row>
    <row r="16" spans="1:14" x14ac:dyDescent="0.25">
      <c r="G16" s="2"/>
      <c r="L16" s="2">
        <f>N13-L13</f>
        <v>0</v>
      </c>
    </row>
    <row r="17" spans="7:14" x14ac:dyDescent="0.25">
      <c r="G17" s="2"/>
    </row>
    <row r="18" spans="7:14" x14ac:dyDescent="0.25">
      <c r="G18" s="2"/>
      <c r="L18" s="3" t="s">
        <v>48</v>
      </c>
    </row>
    <row r="19" spans="7:14" x14ac:dyDescent="0.25">
      <c r="G19" s="2"/>
      <c r="L19" s="2">
        <f>L10-L16</f>
        <v>0</v>
      </c>
    </row>
    <row r="20" spans="7:14" x14ac:dyDescent="0.25">
      <c r="G20" s="2"/>
    </row>
    <row r="21" spans="7:14" x14ac:dyDescent="0.25">
      <c r="G21" s="2"/>
      <c r="L21" s="4" t="s">
        <v>49</v>
      </c>
    </row>
    <row r="22" spans="7:14" x14ac:dyDescent="0.25">
      <c r="G22" s="2"/>
      <c r="L22" s="3" t="s">
        <v>44</v>
      </c>
      <c r="N22" s="3" t="s">
        <v>45</v>
      </c>
    </row>
    <row r="23" spans="7:14" x14ac:dyDescent="0.25">
      <c r="G23" s="2"/>
      <c r="L23" s="2">
        <v>2000</v>
      </c>
      <c r="N23" s="2">
        <v>10000</v>
      </c>
    </row>
    <row r="24" spans="7:14" x14ac:dyDescent="0.25">
      <c r="G24" s="2"/>
    </row>
    <row r="25" spans="7:14" x14ac:dyDescent="0.25">
      <c r="G25" s="2"/>
      <c r="L25" s="3" t="s">
        <v>46</v>
      </c>
      <c r="N25" s="3" t="s">
        <v>47</v>
      </c>
    </row>
    <row r="26" spans="7:14" x14ac:dyDescent="0.25">
      <c r="G26" s="2"/>
      <c r="L26" s="2">
        <f>(L23+(SUMIF(J3:J138,"Checking",G3:G138))-SUMIF(I3:I138,"Checking",G3:G138))</f>
        <v>2000</v>
      </c>
      <c r="N26" s="2">
        <f>(N23+(SUMIF(J3:J138,"Savings",G3:G138))-SUMIF(I3:I138,"Savings",G3:G138))</f>
        <v>10000</v>
      </c>
    </row>
    <row r="27" spans="7:14" x14ac:dyDescent="0.25">
      <c r="G27" s="2"/>
      <c r="L27" s="2"/>
      <c r="N27" s="2"/>
    </row>
    <row r="28" spans="7:14" x14ac:dyDescent="0.25">
      <c r="G28" s="2"/>
    </row>
    <row r="29" spans="7:14" x14ac:dyDescent="0.25">
      <c r="G29" s="2"/>
    </row>
    <row r="30" spans="7:14" x14ac:dyDescent="0.25">
      <c r="G30" s="2"/>
    </row>
    <row r="31" spans="7:14" x14ac:dyDescent="0.25">
      <c r="G31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755A5-16DD-41E5-9D11-57807F95CFA0}">
  <sheetPr codeName="Sheet9"/>
  <dimension ref="A1:N31"/>
  <sheetViews>
    <sheetView workbookViewId="0">
      <selection activeCell="I18" sqref="I18"/>
    </sheetView>
  </sheetViews>
  <sheetFormatPr defaultRowHeight="15" x14ac:dyDescent="0.25"/>
  <cols>
    <col min="1" max="1" width="26.7109375" customWidth="1"/>
    <col min="2" max="2" width="4.28515625" customWidth="1"/>
    <col min="3" max="3" width="7.42578125" customWidth="1"/>
    <col min="4" max="4" width="5.28515625" customWidth="1"/>
    <col min="5" max="5" width="11.28515625" customWidth="1"/>
    <col min="6" max="6" width="6.42578125" customWidth="1"/>
    <col min="7" max="7" width="9.7109375" customWidth="1"/>
    <col min="9" max="9" width="11.85546875" customWidth="1"/>
    <col min="10" max="10" width="11.7109375" customWidth="1"/>
    <col min="12" max="12" width="10.5703125" bestFit="1" customWidth="1"/>
    <col min="13" max="13" width="11.7109375" customWidth="1"/>
    <col min="14" max="14" width="11.5703125" bestFit="1" customWidth="1"/>
  </cols>
  <sheetData>
    <row r="1" spans="1:14" ht="23.25" x14ac:dyDescent="0.35">
      <c r="A1" s="6" t="s">
        <v>52</v>
      </c>
    </row>
    <row r="2" spans="1:14" x14ac:dyDescent="0.25">
      <c r="A2" s="3" t="s">
        <v>19</v>
      </c>
      <c r="B2" s="3" t="s">
        <v>20</v>
      </c>
      <c r="C2" s="3" t="s">
        <v>28</v>
      </c>
      <c r="D2" s="3" t="s">
        <v>21</v>
      </c>
      <c r="E2" s="3" t="s">
        <v>22</v>
      </c>
      <c r="F2" s="3" t="s">
        <v>23</v>
      </c>
      <c r="G2" s="3" t="s">
        <v>24</v>
      </c>
      <c r="H2" s="3" t="s">
        <v>25</v>
      </c>
      <c r="I2" s="3" t="s">
        <v>26</v>
      </c>
      <c r="J2" s="3" t="s">
        <v>27</v>
      </c>
    </row>
    <row r="3" spans="1:14" x14ac:dyDescent="0.25">
      <c r="G3" s="2"/>
    </row>
    <row r="4" spans="1:14" x14ac:dyDescent="0.25">
      <c r="G4" s="2"/>
    </row>
    <row r="5" spans="1:14" x14ac:dyDescent="0.25">
      <c r="G5" s="2"/>
    </row>
    <row r="6" spans="1:14" x14ac:dyDescent="0.25">
      <c r="G6" s="2"/>
      <c r="L6" s="3" t="s">
        <v>38</v>
      </c>
      <c r="N6" s="3" t="s">
        <v>39</v>
      </c>
    </row>
    <row r="7" spans="1:14" x14ac:dyDescent="0.25">
      <c r="G7" s="2"/>
      <c r="L7" s="2">
        <f>SUMIF(E3:E86,"Out",G3:G86)</f>
        <v>0</v>
      </c>
      <c r="N7" s="2">
        <f>SUMIF(E3:E106,"In",G3:G106)</f>
        <v>0</v>
      </c>
    </row>
    <row r="8" spans="1:14" x14ac:dyDescent="0.25">
      <c r="G8" s="2"/>
    </row>
    <row r="9" spans="1:14" x14ac:dyDescent="0.25">
      <c r="G9" s="2"/>
      <c r="L9" s="3" t="s">
        <v>40</v>
      </c>
    </row>
    <row r="10" spans="1:14" x14ac:dyDescent="0.25">
      <c r="G10" s="2"/>
      <c r="L10" s="2">
        <f>N7-L7</f>
        <v>0</v>
      </c>
    </row>
    <row r="11" spans="1:14" x14ac:dyDescent="0.25">
      <c r="G11" s="2"/>
    </row>
    <row r="12" spans="1:14" x14ac:dyDescent="0.25">
      <c r="G12" s="2"/>
      <c r="L12" s="3" t="s">
        <v>43</v>
      </c>
      <c r="N12" s="3" t="s">
        <v>42</v>
      </c>
    </row>
    <row r="13" spans="1:14" x14ac:dyDescent="0.25">
      <c r="G13" s="2"/>
      <c r="L13" s="2">
        <f>SUMIF(E3:E80,"C",G3:G80)</f>
        <v>0</v>
      </c>
      <c r="N13" s="2">
        <f>SUMIF(A3:A166,"Credit Card Payment",G3:G166)</f>
        <v>0</v>
      </c>
    </row>
    <row r="14" spans="1:14" x14ac:dyDescent="0.25">
      <c r="G14" s="2"/>
    </row>
    <row r="15" spans="1:14" x14ac:dyDescent="0.25">
      <c r="G15" s="2"/>
      <c r="L15" s="3" t="s">
        <v>41</v>
      </c>
    </row>
    <row r="16" spans="1:14" x14ac:dyDescent="0.25">
      <c r="G16" s="2"/>
      <c r="L16" s="2">
        <f>N13-L13</f>
        <v>0</v>
      </c>
    </row>
    <row r="17" spans="7:14" x14ac:dyDescent="0.25">
      <c r="G17" s="2"/>
    </row>
    <row r="18" spans="7:14" x14ac:dyDescent="0.25">
      <c r="G18" s="2"/>
      <c r="L18" s="3" t="s">
        <v>48</v>
      </c>
    </row>
    <row r="19" spans="7:14" x14ac:dyDescent="0.25">
      <c r="G19" s="2"/>
      <c r="L19" s="2">
        <f>L10-L16</f>
        <v>0</v>
      </c>
    </row>
    <row r="20" spans="7:14" x14ac:dyDescent="0.25">
      <c r="G20" s="2"/>
    </row>
    <row r="21" spans="7:14" x14ac:dyDescent="0.25">
      <c r="G21" s="2"/>
      <c r="L21" s="4" t="s">
        <v>49</v>
      </c>
    </row>
    <row r="22" spans="7:14" x14ac:dyDescent="0.25">
      <c r="G22" s="2"/>
      <c r="L22" s="3" t="s">
        <v>44</v>
      </c>
      <c r="N22" s="3" t="s">
        <v>45</v>
      </c>
    </row>
    <row r="23" spans="7:14" x14ac:dyDescent="0.25">
      <c r="G23" s="2"/>
      <c r="L23" s="2">
        <v>2000</v>
      </c>
      <c r="N23" s="2">
        <v>10000</v>
      </c>
    </row>
    <row r="24" spans="7:14" x14ac:dyDescent="0.25">
      <c r="G24" s="2"/>
    </row>
    <row r="25" spans="7:14" x14ac:dyDescent="0.25">
      <c r="G25" s="2"/>
      <c r="L25" s="3" t="s">
        <v>46</v>
      </c>
      <c r="N25" s="3" t="s">
        <v>47</v>
      </c>
    </row>
    <row r="26" spans="7:14" x14ac:dyDescent="0.25">
      <c r="G26" s="2"/>
      <c r="L26" s="2">
        <f>(L23+(SUMIF(J3:J138,"Checking",G3:G138))-SUMIF(I3:I138,"Checking",G3:G138))</f>
        <v>2000</v>
      </c>
      <c r="N26" s="2">
        <f>(N23+(SUMIF(J3:J138,"Savings",G3:G138))-SUMIF(I3:I138,"Savings",G3:G138))</f>
        <v>10000</v>
      </c>
    </row>
    <row r="27" spans="7:14" x14ac:dyDescent="0.25">
      <c r="G27" s="2"/>
      <c r="L27" s="2"/>
      <c r="N27" s="2"/>
    </row>
    <row r="28" spans="7:14" x14ac:dyDescent="0.25">
      <c r="G28" s="2"/>
    </row>
    <row r="29" spans="7:14" x14ac:dyDescent="0.25">
      <c r="G29" s="2"/>
    </row>
    <row r="30" spans="7:14" x14ac:dyDescent="0.25">
      <c r="G30" s="2"/>
    </row>
    <row r="31" spans="7:14" x14ac:dyDescent="0.25">
      <c r="G31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973C-4F20-4438-9AC6-14B2FA0BF2D7}">
  <sheetPr codeName="Sheet10"/>
  <dimension ref="A1:N31"/>
  <sheetViews>
    <sheetView zoomScale="10" zoomScaleNormal="10" workbookViewId="0">
      <selection activeCell="C10" sqref="C10"/>
    </sheetView>
  </sheetViews>
  <sheetFormatPr defaultRowHeight="15" x14ac:dyDescent="0.25"/>
  <cols>
    <col min="1" max="1" width="26.7109375" customWidth="1"/>
    <col min="2" max="2" width="4.28515625" customWidth="1"/>
    <col min="3" max="3" width="7.42578125" customWidth="1"/>
    <col min="4" max="4" width="5.28515625" customWidth="1"/>
    <col min="5" max="5" width="11.28515625" customWidth="1"/>
    <col min="6" max="6" width="6.42578125" customWidth="1"/>
    <col min="7" max="7" width="9.7109375" customWidth="1"/>
    <col min="9" max="9" width="11.85546875" customWidth="1"/>
    <col min="10" max="10" width="11.7109375" customWidth="1"/>
    <col min="12" max="12" width="10.5703125" bestFit="1" customWidth="1"/>
    <col min="13" max="13" width="11.7109375" customWidth="1"/>
    <col min="14" max="14" width="11.5703125" bestFit="1" customWidth="1"/>
  </cols>
  <sheetData>
    <row r="1" spans="1:14" ht="23.25" x14ac:dyDescent="0.35">
      <c r="A1" s="6" t="s">
        <v>53</v>
      </c>
    </row>
    <row r="2" spans="1:14" x14ac:dyDescent="0.25">
      <c r="A2" s="3" t="s">
        <v>19</v>
      </c>
      <c r="B2" s="3" t="s">
        <v>20</v>
      </c>
      <c r="C2" s="3" t="s">
        <v>28</v>
      </c>
      <c r="D2" s="3" t="s">
        <v>21</v>
      </c>
      <c r="E2" s="3" t="s">
        <v>22</v>
      </c>
      <c r="F2" s="3" t="s">
        <v>23</v>
      </c>
      <c r="G2" s="3" t="s">
        <v>24</v>
      </c>
      <c r="H2" s="3" t="s">
        <v>25</v>
      </c>
      <c r="I2" s="3" t="s">
        <v>26</v>
      </c>
      <c r="J2" s="3" t="s">
        <v>27</v>
      </c>
    </row>
    <row r="3" spans="1:14" x14ac:dyDescent="0.25">
      <c r="G3" s="2"/>
    </row>
    <row r="4" spans="1:14" x14ac:dyDescent="0.25">
      <c r="G4" s="2"/>
    </row>
    <row r="5" spans="1:14" x14ac:dyDescent="0.25">
      <c r="G5" s="2"/>
    </row>
    <row r="6" spans="1:14" x14ac:dyDescent="0.25">
      <c r="G6" s="2"/>
      <c r="L6" s="3" t="s">
        <v>38</v>
      </c>
      <c r="N6" s="3" t="s">
        <v>39</v>
      </c>
    </row>
    <row r="7" spans="1:14" x14ac:dyDescent="0.25">
      <c r="G7" s="2"/>
      <c r="L7" s="2">
        <f>SUMIF(E3:E86,"Out",G3:G86)</f>
        <v>0</v>
      </c>
      <c r="N7" s="2">
        <f>SUMIF(E3:E106,"In",G3:G106)</f>
        <v>0</v>
      </c>
    </row>
    <row r="8" spans="1:14" x14ac:dyDescent="0.25">
      <c r="G8" s="2"/>
    </row>
    <row r="9" spans="1:14" x14ac:dyDescent="0.25">
      <c r="G9" s="2"/>
      <c r="L9" s="3" t="s">
        <v>40</v>
      </c>
    </row>
    <row r="10" spans="1:14" x14ac:dyDescent="0.25">
      <c r="G10" s="2"/>
      <c r="L10" s="2">
        <f>N7-L7</f>
        <v>0</v>
      </c>
    </row>
    <row r="11" spans="1:14" x14ac:dyDescent="0.25">
      <c r="G11" s="2"/>
    </row>
    <row r="12" spans="1:14" x14ac:dyDescent="0.25">
      <c r="G12" s="2"/>
      <c r="L12" s="3" t="s">
        <v>43</v>
      </c>
      <c r="N12" s="3" t="s">
        <v>42</v>
      </c>
    </row>
    <row r="13" spans="1:14" x14ac:dyDescent="0.25">
      <c r="G13" s="2"/>
      <c r="L13" s="2">
        <f>SUMIF(E3:E80,"C",G3:G80)</f>
        <v>0</v>
      </c>
      <c r="N13" s="2">
        <f>SUMIF(A3:A166,"Credit Card Payment",G3:G166)</f>
        <v>0</v>
      </c>
    </row>
    <row r="14" spans="1:14" x14ac:dyDescent="0.25">
      <c r="G14" s="2"/>
    </row>
    <row r="15" spans="1:14" x14ac:dyDescent="0.25">
      <c r="G15" s="2"/>
      <c r="L15" s="3" t="s">
        <v>41</v>
      </c>
    </row>
    <row r="16" spans="1:14" x14ac:dyDescent="0.25">
      <c r="G16" s="2"/>
      <c r="L16" s="2">
        <f>N13-L13</f>
        <v>0</v>
      </c>
    </row>
    <row r="17" spans="7:14" x14ac:dyDescent="0.25">
      <c r="G17" s="2"/>
    </row>
    <row r="18" spans="7:14" x14ac:dyDescent="0.25">
      <c r="G18" s="2"/>
      <c r="L18" s="3" t="s">
        <v>48</v>
      </c>
    </row>
    <row r="19" spans="7:14" x14ac:dyDescent="0.25">
      <c r="G19" s="2"/>
      <c r="L19" s="2">
        <f>L10-L16</f>
        <v>0</v>
      </c>
    </row>
    <row r="20" spans="7:14" x14ac:dyDescent="0.25">
      <c r="G20" s="2"/>
    </row>
    <row r="21" spans="7:14" x14ac:dyDescent="0.25">
      <c r="G21" s="2"/>
      <c r="L21" s="4" t="s">
        <v>49</v>
      </c>
    </row>
    <row r="22" spans="7:14" x14ac:dyDescent="0.25">
      <c r="G22" s="2"/>
      <c r="L22" s="3" t="s">
        <v>44</v>
      </c>
      <c r="N22" s="3" t="s">
        <v>45</v>
      </c>
    </row>
    <row r="23" spans="7:14" x14ac:dyDescent="0.25">
      <c r="G23" s="2"/>
      <c r="L23" s="2">
        <v>2000</v>
      </c>
      <c r="N23" s="2">
        <v>10000</v>
      </c>
    </row>
    <row r="24" spans="7:14" x14ac:dyDescent="0.25">
      <c r="G24" s="2"/>
    </row>
    <row r="25" spans="7:14" x14ac:dyDescent="0.25">
      <c r="G25" s="2"/>
      <c r="L25" s="3" t="s">
        <v>46</v>
      </c>
      <c r="N25" s="3" t="s">
        <v>47</v>
      </c>
    </row>
    <row r="26" spans="7:14" x14ac:dyDescent="0.25">
      <c r="G26" s="2"/>
      <c r="L26" s="2">
        <f>(L23+(SUMIF(J3:J138,"Checking",G3:G138))-SUMIF(I3:I138,"Checking",G3:G138))</f>
        <v>2000</v>
      </c>
      <c r="N26" s="2">
        <f>(N23+(SUMIF(J3:J138,"Savings",G3:G138))-SUMIF(I3:I138,"Savings",G3:G138))</f>
        <v>10000</v>
      </c>
    </row>
    <row r="27" spans="7:14" x14ac:dyDescent="0.25">
      <c r="G27" s="2"/>
      <c r="L27" s="2"/>
      <c r="N27" s="2"/>
    </row>
    <row r="28" spans="7:14" x14ac:dyDescent="0.25">
      <c r="G28" s="2"/>
    </row>
    <row r="29" spans="7:14" x14ac:dyDescent="0.25">
      <c r="G29" s="2"/>
    </row>
    <row r="30" spans="7:14" x14ac:dyDescent="0.25">
      <c r="G30" s="2"/>
    </row>
    <row r="31" spans="7:14" x14ac:dyDescent="0.25">
      <c r="G31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05721-EE5E-4EA3-92EC-83437E08BC27}">
  <sheetPr codeName="Sheet11"/>
  <dimension ref="A1:N31"/>
  <sheetViews>
    <sheetView workbookViewId="0">
      <selection activeCell="H24" sqref="H24"/>
    </sheetView>
  </sheetViews>
  <sheetFormatPr defaultRowHeight="15" x14ac:dyDescent="0.25"/>
  <cols>
    <col min="1" max="1" width="26.7109375" customWidth="1"/>
    <col min="2" max="2" width="4.28515625" customWidth="1"/>
    <col min="3" max="3" width="7.42578125" customWidth="1"/>
    <col min="4" max="4" width="5.28515625" customWidth="1"/>
    <col min="5" max="5" width="11.28515625" customWidth="1"/>
    <col min="6" max="6" width="6.42578125" customWidth="1"/>
    <col min="7" max="7" width="9.7109375" customWidth="1"/>
    <col min="9" max="9" width="11.85546875" customWidth="1"/>
    <col min="10" max="10" width="11.7109375" customWidth="1"/>
    <col min="12" max="12" width="10.5703125" bestFit="1" customWidth="1"/>
    <col min="13" max="13" width="11.7109375" customWidth="1"/>
    <col min="14" max="14" width="11.5703125" bestFit="1" customWidth="1"/>
  </cols>
  <sheetData>
    <row r="1" spans="1:14" ht="23.25" x14ac:dyDescent="0.35">
      <c r="A1" s="6" t="s">
        <v>54</v>
      </c>
    </row>
    <row r="2" spans="1:14" x14ac:dyDescent="0.25">
      <c r="A2" s="3" t="s">
        <v>19</v>
      </c>
      <c r="B2" s="3" t="s">
        <v>20</v>
      </c>
      <c r="C2" s="3" t="s">
        <v>28</v>
      </c>
      <c r="D2" s="3" t="s">
        <v>21</v>
      </c>
      <c r="E2" s="3" t="s">
        <v>22</v>
      </c>
      <c r="F2" s="3" t="s">
        <v>23</v>
      </c>
      <c r="G2" s="3" t="s">
        <v>24</v>
      </c>
      <c r="H2" s="3" t="s">
        <v>25</v>
      </c>
      <c r="I2" s="3" t="s">
        <v>26</v>
      </c>
      <c r="J2" s="3" t="s">
        <v>27</v>
      </c>
    </row>
    <row r="3" spans="1:14" x14ac:dyDescent="0.25">
      <c r="G3" s="2"/>
    </row>
    <row r="4" spans="1:14" x14ac:dyDescent="0.25">
      <c r="G4" s="2"/>
    </row>
    <row r="5" spans="1:14" x14ac:dyDescent="0.25">
      <c r="G5" s="2"/>
    </row>
    <row r="6" spans="1:14" x14ac:dyDescent="0.25">
      <c r="G6" s="2"/>
      <c r="L6" s="3" t="s">
        <v>38</v>
      </c>
      <c r="N6" s="3" t="s">
        <v>39</v>
      </c>
    </row>
    <row r="7" spans="1:14" x14ac:dyDescent="0.25">
      <c r="G7" s="2"/>
      <c r="L7" s="2">
        <f>SUMIF(E3:E86,"Out",G3:G86)</f>
        <v>0</v>
      </c>
      <c r="N7" s="2">
        <f>SUMIF(E3:E106,"In",G3:G106)</f>
        <v>0</v>
      </c>
    </row>
    <row r="8" spans="1:14" x14ac:dyDescent="0.25">
      <c r="G8" s="2"/>
    </row>
    <row r="9" spans="1:14" x14ac:dyDescent="0.25">
      <c r="G9" s="2"/>
      <c r="L9" s="3" t="s">
        <v>40</v>
      </c>
    </row>
    <row r="10" spans="1:14" x14ac:dyDescent="0.25">
      <c r="G10" s="2"/>
      <c r="L10" s="2">
        <f>N7-L7</f>
        <v>0</v>
      </c>
    </row>
    <row r="11" spans="1:14" x14ac:dyDescent="0.25">
      <c r="G11" s="2"/>
    </row>
    <row r="12" spans="1:14" x14ac:dyDescent="0.25">
      <c r="G12" s="2"/>
      <c r="L12" s="3" t="s">
        <v>43</v>
      </c>
      <c r="N12" s="3" t="s">
        <v>42</v>
      </c>
    </row>
    <row r="13" spans="1:14" x14ac:dyDescent="0.25">
      <c r="G13" s="2"/>
      <c r="L13" s="2">
        <f>SUMIF(E3:E80,"C",G3:G80)</f>
        <v>0</v>
      </c>
      <c r="N13" s="2">
        <f>SUMIF(A3:A166,"Credit Card Payment",G3:G166)</f>
        <v>0</v>
      </c>
    </row>
    <row r="14" spans="1:14" x14ac:dyDescent="0.25">
      <c r="G14" s="2"/>
    </row>
    <row r="15" spans="1:14" x14ac:dyDescent="0.25">
      <c r="G15" s="2"/>
      <c r="L15" s="3" t="s">
        <v>41</v>
      </c>
    </row>
    <row r="16" spans="1:14" x14ac:dyDescent="0.25">
      <c r="G16" s="2"/>
      <c r="L16" s="2">
        <f>N13-L13</f>
        <v>0</v>
      </c>
    </row>
    <row r="17" spans="7:14" x14ac:dyDescent="0.25">
      <c r="G17" s="2"/>
    </row>
    <row r="18" spans="7:14" x14ac:dyDescent="0.25">
      <c r="G18" s="2"/>
      <c r="L18" s="3" t="s">
        <v>48</v>
      </c>
    </row>
    <row r="19" spans="7:14" x14ac:dyDescent="0.25">
      <c r="G19" s="2"/>
      <c r="L19" s="2">
        <f>L10-L16</f>
        <v>0</v>
      </c>
    </row>
    <row r="20" spans="7:14" x14ac:dyDescent="0.25">
      <c r="G20" s="2"/>
    </row>
    <row r="21" spans="7:14" x14ac:dyDescent="0.25">
      <c r="G21" s="2"/>
      <c r="L21" s="4" t="s">
        <v>49</v>
      </c>
    </row>
    <row r="22" spans="7:14" x14ac:dyDescent="0.25">
      <c r="G22" s="2"/>
      <c r="L22" s="3" t="s">
        <v>44</v>
      </c>
      <c r="N22" s="3" t="s">
        <v>45</v>
      </c>
    </row>
    <row r="23" spans="7:14" x14ac:dyDescent="0.25">
      <c r="G23" s="2"/>
      <c r="L23" s="2">
        <v>2000</v>
      </c>
      <c r="N23" s="2">
        <v>10000</v>
      </c>
    </row>
    <row r="24" spans="7:14" x14ac:dyDescent="0.25">
      <c r="G24" s="2"/>
    </row>
    <row r="25" spans="7:14" x14ac:dyDescent="0.25">
      <c r="G25" s="2"/>
      <c r="L25" s="3" t="s">
        <v>46</v>
      </c>
      <c r="N25" s="3" t="s">
        <v>47</v>
      </c>
    </row>
    <row r="26" spans="7:14" x14ac:dyDescent="0.25">
      <c r="G26" s="2"/>
      <c r="L26" s="2">
        <f>(L23+(SUMIF(J3:J138,"Checking",G3:G138))-SUMIF(I3:I138,"Checking",G3:G138))</f>
        <v>2000</v>
      </c>
      <c r="N26" s="2">
        <f>(N23+(SUMIF(J3:J138,"Savings",G3:G138))-SUMIF(I3:I138,"Savings",G3:G138))</f>
        <v>10000</v>
      </c>
    </row>
    <row r="27" spans="7:14" x14ac:dyDescent="0.25">
      <c r="G27" s="2"/>
      <c r="L27" s="2"/>
      <c r="N27" s="2"/>
    </row>
    <row r="28" spans="7:14" x14ac:dyDescent="0.25">
      <c r="G28" s="2"/>
    </row>
    <row r="29" spans="7:14" x14ac:dyDescent="0.25">
      <c r="G29" s="2"/>
    </row>
    <row r="30" spans="7:14" x14ac:dyDescent="0.25">
      <c r="G30" s="2"/>
    </row>
    <row r="31" spans="7:14" x14ac:dyDescent="0.25">
      <c r="G31" s="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25482-5DCA-4376-B3BA-38DE5CD73D41}">
  <sheetPr codeName="Sheet12"/>
  <dimension ref="A1:N31"/>
  <sheetViews>
    <sheetView workbookViewId="0">
      <selection activeCell="E6" sqref="E6"/>
    </sheetView>
  </sheetViews>
  <sheetFormatPr defaultRowHeight="15" x14ac:dyDescent="0.25"/>
  <cols>
    <col min="1" max="1" width="26.7109375" customWidth="1"/>
    <col min="2" max="2" width="4.28515625" customWidth="1"/>
    <col min="3" max="3" width="7.42578125" customWidth="1"/>
    <col min="4" max="4" width="5.28515625" customWidth="1"/>
    <col min="5" max="5" width="11.28515625" customWidth="1"/>
    <col min="6" max="6" width="6.42578125" customWidth="1"/>
    <col min="7" max="7" width="9.7109375" customWidth="1"/>
    <col min="9" max="9" width="11.85546875" customWidth="1"/>
    <col min="10" max="10" width="11.7109375" customWidth="1"/>
    <col min="12" max="12" width="10.5703125" bestFit="1" customWidth="1"/>
    <col min="13" max="13" width="11.7109375" customWidth="1"/>
    <col min="14" max="14" width="11.5703125" bestFit="1" customWidth="1"/>
  </cols>
  <sheetData>
    <row r="1" spans="1:14" ht="23.25" x14ac:dyDescent="0.35">
      <c r="A1" s="6" t="s">
        <v>55</v>
      </c>
    </row>
    <row r="2" spans="1:14" x14ac:dyDescent="0.25">
      <c r="A2" s="3" t="s">
        <v>19</v>
      </c>
      <c r="B2" s="3" t="s">
        <v>20</v>
      </c>
      <c r="C2" s="3" t="s">
        <v>28</v>
      </c>
      <c r="D2" s="3" t="s">
        <v>21</v>
      </c>
      <c r="E2" s="3" t="s">
        <v>22</v>
      </c>
      <c r="F2" s="3" t="s">
        <v>23</v>
      </c>
      <c r="G2" s="3" t="s">
        <v>24</v>
      </c>
      <c r="H2" s="3" t="s">
        <v>25</v>
      </c>
      <c r="I2" s="3" t="s">
        <v>26</v>
      </c>
      <c r="J2" s="3" t="s">
        <v>27</v>
      </c>
    </row>
    <row r="3" spans="1:14" x14ac:dyDescent="0.25">
      <c r="G3" s="2"/>
    </row>
    <row r="4" spans="1:14" x14ac:dyDescent="0.25">
      <c r="G4" s="2"/>
    </row>
    <row r="5" spans="1:14" x14ac:dyDescent="0.25">
      <c r="G5" s="2"/>
    </row>
    <row r="6" spans="1:14" x14ac:dyDescent="0.25">
      <c r="G6" s="2"/>
      <c r="L6" s="3" t="s">
        <v>38</v>
      </c>
      <c r="N6" s="3" t="s">
        <v>39</v>
      </c>
    </row>
    <row r="7" spans="1:14" x14ac:dyDescent="0.25">
      <c r="G7" s="2"/>
      <c r="L7" s="2">
        <f>SUMIF(E3:E86,"Out",G3:G86)</f>
        <v>0</v>
      </c>
      <c r="N7" s="2">
        <f>SUMIF(E3:E106,"In",G3:G106)</f>
        <v>0</v>
      </c>
    </row>
    <row r="8" spans="1:14" x14ac:dyDescent="0.25">
      <c r="G8" s="2"/>
    </row>
    <row r="9" spans="1:14" x14ac:dyDescent="0.25">
      <c r="G9" s="2"/>
      <c r="L9" s="3" t="s">
        <v>40</v>
      </c>
    </row>
    <row r="10" spans="1:14" x14ac:dyDescent="0.25">
      <c r="G10" s="2"/>
      <c r="L10" s="2">
        <f>N7-L7</f>
        <v>0</v>
      </c>
    </row>
    <row r="11" spans="1:14" x14ac:dyDescent="0.25">
      <c r="G11" s="2"/>
    </row>
    <row r="12" spans="1:14" x14ac:dyDescent="0.25">
      <c r="G12" s="2"/>
      <c r="L12" s="3" t="s">
        <v>43</v>
      </c>
      <c r="N12" s="3" t="s">
        <v>42</v>
      </c>
    </row>
    <row r="13" spans="1:14" x14ac:dyDescent="0.25">
      <c r="G13" s="2"/>
      <c r="L13" s="2">
        <f>SUMIF(E3:E80,"C",G3:G80)</f>
        <v>0</v>
      </c>
      <c r="N13" s="2">
        <f>SUMIF(A3:A166,"Credit Card Payment",G3:G166)</f>
        <v>0</v>
      </c>
    </row>
    <row r="14" spans="1:14" x14ac:dyDescent="0.25">
      <c r="G14" s="2"/>
    </row>
    <row r="15" spans="1:14" x14ac:dyDescent="0.25">
      <c r="G15" s="2"/>
      <c r="L15" s="3" t="s">
        <v>41</v>
      </c>
    </row>
    <row r="16" spans="1:14" x14ac:dyDescent="0.25">
      <c r="G16" s="2"/>
      <c r="L16" s="2">
        <f>N13-L13</f>
        <v>0</v>
      </c>
    </row>
    <row r="17" spans="7:14" x14ac:dyDescent="0.25">
      <c r="G17" s="2"/>
    </row>
    <row r="18" spans="7:14" x14ac:dyDescent="0.25">
      <c r="G18" s="2"/>
      <c r="L18" s="3" t="s">
        <v>48</v>
      </c>
    </row>
    <row r="19" spans="7:14" x14ac:dyDescent="0.25">
      <c r="G19" s="2"/>
      <c r="L19" s="2">
        <f>L10-L16</f>
        <v>0</v>
      </c>
    </row>
    <row r="20" spans="7:14" x14ac:dyDescent="0.25">
      <c r="G20" s="2"/>
    </row>
    <row r="21" spans="7:14" x14ac:dyDescent="0.25">
      <c r="G21" s="2"/>
      <c r="L21" s="4" t="s">
        <v>49</v>
      </c>
    </row>
    <row r="22" spans="7:14" x14ac:dyDescent="0.25">
      <c r="G22" s="2"/>
      <c r="L22" s="3" t="s">
        <v>44</v>
      </c>
      <c r="N22" s="3" t="s">
        <v>45</v>
      </c>
    </row>
    <row r="23" spans="7:14" x14ac:dyDescent="0.25">
      <c r="G23" s="2"/>
      <c r="L23" s="2">
        <v>2000</v>
      </c>
      <c r="N23" s="2">
        <v>10000</v>
      </c>
    </row>
    <row r="24" spans="7:14" x14ac:dyDescent="0.25">
      <c r="G24" s="2"/>
    </row>
    <row r="25" spans="7:14" x14ac:dyDescent="0.25">
      <c r="G25" s="2"/>
      <c r="L25" s="3" t="s">
        <v>46</v>
      </c>
      <c r="N25" s="3" t="s">
        <v>47</v>
      </c>
    </row>
    <row r="26" spans="7:14" x14ac:dyDescent="0.25">
      <c r="G26" s="2"/>
      <c r="L26" s="2">
        <f>(L23+(SUMIF(J3:J138,"Checking",G3:G138))-SUMIF(I3:I138,"Checking",G3:G138))</f>
        <v>2000</v>
      </c>
      <c r="N26" s="2">
        <f>(N23+(SUMIF(J3:J138,"Savings",G3:G138))-SUMIF(I3:I138,"Savings",G3:G138))</f>
        <v>10000</v>
      </c>
    </row>
    <row r="27" spans="7:14" x14ac:dyDescent="0.25">
      <c r="G27" s="2"/>
      <c r="L27" s="2"/>
      <c r="N27" s="2"/>
    </row>
    <row r="28" spans="7:14" x14ac:dyDescent="0.25">
      <c r="G28" s="2"/>
    </row>
    <row r="29" spans="7:14" x14ac:dyDescent="0.25">
      <c r="G29" s="2"/>
    </row>
    <row r="30" spans="7:14" x14ac:dyDescent="0.25">
      <c r="G30" s="2"/>
    </row>
    <row r="31" spans="7:14" x14ac:dyDescent="0.25">
      <c r="G31" s="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0865-F90A-4633-9F98-A436E57A1975}">
  <sheetPr codeName="Sheet13"/>
  <dimension ref="A1:N31"/>
  <sheetViews>
    <sheetView workbookViewId="0">
      <selection activeCell="F11" sqref="F11"/>
    </sheetView>
  </sheetViews>
  <sheetFormatPr defaultRowHeight="15" x14ac:dyDescent="0.25"/>
  <cols>
    <col min="1" max="1" width="26.7109375" customWidth="1"/>
    <col min="2" max="2" width="4.28515625" customWidth="1"/>
    <col min="3" max="3" width="7.42578125" customWidth="1"/>
    <col min="4" max="4" width="5.28515625" customWidth="1"/>
    <col min="5" max="5" width="11.28515625" customWidth="1"/>
    <col min="6" max="6" width="6.42578125" customWidth="1"/>
    <col min="7" max="7" width="9.7109375" customWidth="1"/>
    <col min="9" max="9" width="11.85546875" customWidth="1"/>
    <col min="10" max="10" width="11.7109375" customWidth="1"/>
    <col min="12" max="12" width="10.5703125" bestFit="1" customWidth="1"/>
    <col min="13" max="13" width="11.7109375" customWidth="1"/>
    <col min="14" max="14" width="11.5703125" bestFit="1" customWidth="1"/>
  </cols>
  <sheetData>
    <row r="1" spans="1:14" ht="23.25" x14ac:dyDescent="0.35">
      <c r="A1" s="6" t="s">
        <v>56</v>
      </c>
    </row>
    <row r="2" spans="1:14" x14ac:dyDescent="0.25">
      <c r="A2" s="3" t="s">
        <v>19</v>
      </c>
      <c r="B2" s="3" t="s">
        <v>20</v>
      </c>
      <c r="C2" s="3" t="s">
        <v>28</v>
      </c>
      <c r="D2" s="3" t="s">
        <v>21</v>
      </c>
      <c r="E2" s="3" t="s">
        <v>22</v>
      </c>
      <c r="F2" s="3" t="s">
        <v>23</v>
      </c>
      <c r="G2" s="3" t="s">
        <v>24</v>
      </c>
      <c r="H2" s="3" t="s">
        <v>25</v>
      </c>
      <c r="I2" s="3" t="s">
        <v>26</v>
      </c>
      <c r="J2" s="3" t="s">
        <v>27</v>
      </c>
    </row>
    <row r="3" spans="1:14" x14ac:dyDescent="0.25">
      <c r="G3" s="2"/>
    </row>
    <row r="4" spans="1:14" x14ac:dyDescent="0.25">
      <c r="G4" s="2"/>
    </row>
    <row r="5" spans="1:14" x14ac:dyDescent="0.25">
      <c r="G5" s="2"/>
    </row>
    <row r="6" spans="1:14" x14ac:dyDescent="0.25">
      <c r="G6" s="2"/>
      <c r="L6" s="3" t="s">
        <v>38</v>
      </c>
      <c r="N6" s="3" t="s">
        <v>39</v>
      </c>
    </row>
    <row r="7" spans="1:14" x14ac:dyDescent="0.25">
      <c r="G7" s="2"/>
      <c r="L7" s="2">
        <f>SUMIF(E3:E86,"Out",G3:G86)</f>
        <v>0</v>
      </c>
      <c r="N7" s="2">
        <f>SUMIF(E3:E106,"In",G3:G106)</f>
        <v>0</v>
      </c>
    </row>
    <row r="8" spans="1:14" x14ac:dyDescent="0.25">
      <c r="G8" s="2"/>
    </row>
    <row r="9" spans="1:14" x14ac:dyDescent="0.25">
      <c r="G9" s="2"/>
      <c r="L9" s="3" t="s">
        <v>40</v>
      </c>
    </row>
    <row r="10" spans="1:14" x14ac:dyDescent="0.25">
      <c r="G10" s="2"/>
      <c r="L10" s="2">
        <f>N7-L7</f>
        <v>0</v>
      </c>
    </row>
    <row r="11" spans="1:14" x14ac:dyDescent="0.25">
      <c r="G11" s="2"/>
    </row>
    <row r="12" spans="1:14" x14ac:dyDescent="0.25">
      <c r="G12" s="2"/>
      <c r="L12" s="3" t="s">
        <v>43</v>
      </c>
      <c r="N12" s="3" t="s">
        <v>42</v>
      </c>
    </row>
    <row r="13" spans="1:14" x14ac:dyDescent="0.25">
      <c r="G13" s="2"/>
      <c r="L13" s="2">
        <f>SUMIF(E3:E80,"C",G3:G80)</f>
        <v>0</v>
      </c>
      <c r="N13" s="2">
        <f>SUMIF(A3:A166,"Credit Card Payment",G3:G166)</f>
        <v>0</v>
      </c>
    </row>
    <row r="14" spans="1:14" x14ac:dyDescent="0.25">
      <c r="G14" s="2"/>
    </row>
    <row r="15" spans="1:14" x14ac:dyDescent="0.25">
      <c r="G15" s="2"/>
      <c r="L15" s="3" t="s">
        <v>41</v>
      </c>
    </row>
    <row r="16" spans="1:14" x14ac:dyDescent="0.25">
      <c r="G16" s="2"/>
      <c r="L16" s="2">
        <f>N13-L13</f>
        <v>0</v>
      </c>
    </row>
    <row r="17" spans="7:14" x14ac:dyDescent="0.25">
      <c r="G17" s="2"/>
    </row>
    <row r="18" spans="7:14" x14ac:dyDescent="0.25">
      <c r="G18" s="2"/>
      <c r="L18" s="3" t="s">
        <v>48</v>
      </c>
    </row>
    <row r="19" spans="7:14" x14ac:dyDescent="0.25">
      <c r="G19" s="2"/>
      <c r="L19" s="2">
        <f>L10-L16</f>
        <v>0</v>
      </c>
    </row>
    <row r="20" spans="7:14" x14ac:dyDescent="0.25">
      <c r="G20" s="2"/>
    </row>
    <row r="21" spans="7:14" x14ac:dyDescent="0.25">
      <c r="G21" s="2"/>
      <c r="L21" s="4" t="s">
        <v>49</v>
      </c>
    </row>
    <row r="22" spans="7:14" x14ac:dyDescent="0.25">
      <c r="G22" s="2"/>
      <c r="L22" s="3" t="s">
        <v>44</v>
      </c>
      <c r="N22" s="3" t="s">
        <v>45</v>
      </c>
    </row>
    <row r="23" spans="7:14" x14ac:dyDescent="0.25">
      <c r="G23" s="2"/>
      <c r="L23" s="2">
        <v>2000</v>
      </c>
      <c r="N23" s="2">
        <v>10000</v>
      </c>
    </row>
    <row r="24" spans="7:14" x14ac:dyDescent="0.25">
      <c r="G24" s="2"/>
    </row>
    <row r="25" spans="7:14" x14ac:dyDescent="0.25">
      <c r="G25" s="2"/>
      <c r="L25" s="3" t="s">
        <v>46</v>
      </c>
      <c r="N25" s="3" t="s">
        <v>47</v>
      </c>
    </row>
    <row r="26" spans="7:14" x14ac:dyDescent="0.25">
      <c r="G26" s="2"/>
      <c r="L26" s="2">
        <f>(L23+(SUMIF(J3:J138,"Checking",G3:G138))-SUMIF(I3:I138,"Checking",G3:G138))</f>
        <v>2000</v>
      </c>
      <c r="N26" s="2">
        <f>(N23+(SUMIF(J3:J138,"Savings",G3:G138))-SUMIF(I3:I138,"Savings",G3:G138))</f>
        <v>10000</v>
      </c>
    </row>
    <row r="27" spans="7:14" x14ac:dyDescent="0.25">
      <c r="G27" s="2"/>
      <c r="L27" s="2"/>
      <c r="N27" s="2"/>
    </row>
    <row r="28" spans="7:14" x14ac:dyDescent="0.25">
      <c r="G28" s="2"/>
    </row>
    <row r="29" spans="7:14" x14ac:dyDescent="0.25">
      <c r="G29" s="2"/>
    </row>
    <row r="30" spans="7:14" x14ac:dyDescent="0.25">
      <c r="G30" s="2"/>
    </row>
    <row r="31" spans="7:14" x14ac:dyDescent="0.25">
      <c r="G31" s="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06B1D-C0E9-4BCB-91BD-E21ACE886803}">
  <sheetPr codeName="Sheet14"/>
  <dimension ref="A1:N31"/>
  <sheetViews>
    <sheetView workbookViewId="0">
      <selection activeCell="F6" sqref="F6"/>
    </sheetView>
  </sheetViews>
  <sheetFormatPr defaultRowHeight="15" x14ac:dyDescent="0.25"/>
  <cols>
    <col min="1" max="1" width="26.7109375" customWidth="1"/>
    <col min="2" max="2" width="4.28515625" customWidth="1"/>
    <col min="3" max="3" width="7.42578125" customWidth="1"/>
    <col min="4" max="4" width="5.28515625" customWidth="1"/>
    <col min="5" max="5" width="11.28515625" customWidth="1"/>
    <col min="6" max="6" width="6.42578125" customWidth="1"/>
    <col min="7" max="7" width="9.7109375" customWidth="1"/>
    <col min="9" max="9" width="11.85546875" customWidth="1"/>
    <col min="10" max="10" width="11.7109375" customWidth="1"/>
    <col min="12" max="12" width="10.5703125" bestFit="1" customWidth="1"/>
    <col min="13" max="13" width="11.7109375" customWidth="1"/>
    <col min="14" max="14" width="11.5703125" bestFit="1" customWidth="1"/>
  </cols>
  <sheetData>
    <row r="1" spans="1:14" ht="23.25" x14ac:dyDescent="0.35">
      <c r="A1" s="6" t="s">
        <v>57</v>
      </c>
    </row>
    <row r="2" spans="1:14" x14ac:dyDescent="0.25">
      <c r="A2" s="3" t="s">
        <v>19</v>
      </c>
      <c r="B2" s="3" t="s">
        <v>20</v>
      </c>
      <c r="C2" s="3" t="s">
        <v>28</v>
      </c>
      <c r="D2" s="3" t="s">
        <v>21</v>
      </c>
      <c r="E2" s="3" t="s">
        <v>22</v>
      </c>
      <c r="F2" s="3" t="s">
        <v>23</v>
      </c>
      <c r="G2" s="3" t="s">
        <v>24</v>
      </c>
      <c r="H2" s="3" t="s">
        <v>25</v>
      </c>
      <c r="I2" s="3" t="s">
        <v>26</v>
      </c>
      <c r="J2" s="3" t="s">
        <v>27</v>
      </c>
    </row>
    <row r="3" spans="1:14" x14ac:dyDescent="0.25">
      <c r="G3" s="2"/>
    </row>
    <row r="4" spans="1:14" x14ac:dyDescent="0.25">
      <c r="G4" s="2"/>
    </row>
    <row r="5" spans="1:14" x14ac:dyDescent="0.25">
      <c r="G5" s="2"/>
    </row>
    <row r="6" spans="1:14" x14ac:dyDescent="0.25">
      <c r="G6" s="2"/>
      <c r="L6" s="3" t="s">
        <v>38</v>
      </c>
      <c r="N6" s="3" t="s">
        <v>39</v>
      </c>
    </row>
    <row r="7" spans="1:14" x14ac:dyDescent="0.25">
      <c r="G7" s="2"/>
      <c r="L7" s="2">
        <f>SUMIF(E3:E86,"Out",G3:G86)</f>
        <v>0</v>
      </c>
      <c r="N7" s="2">
        <f>SUMIF(E3:E106,"In",G3:G106)</f>
        <v>0</v>
      </c>
    </row>
    <row r="8" spans="1:14" x14ac:dyDescent="0.25">
      <c r="G8" s="2"/>
    </row>
    <row r="9" spans="1:14" x14ac:dyDescent="0.25">
      <c r="G9" s="2"/>
      <c r="L9" s="3" t="s">
        <v>40</v>
      </c>
    </row>
    <row r="10" spans="1:14" x14ac:dyDescent="0.25">
      <c r="G10" s="2"/>
      <c r="L10" s="2">
        <f>N7-L7</f>
        <v>0</v>
      </c>
    </row>
    <row r="11" spans="1:14" x14ac:dyDescent="0.25">
      <c r="G11" s="2"/>
    </row>
    <row r="12" spans="1:14" x14ac:dyDescent="0.25">
      <c r="G12" s="2"/>
      <c r="L12" s="3" t="s">
        <v>43</v>
      </c>
      <c r="N12" s="3" t="s">
        <v>42</v>
      </c>
    </row>
    <row r="13" spans="1:14" x14ac:dyDescent="0.25">
      <c r="G13" s="2"/>
      <c r="L13" s="2">
        <f>SUMIF(E3:E80,"C",G3:G80)</f>
        <v>0</v>
      </c>
      <c r="N13" s="2">
        <f>SUMIF(A3:A166,"Credit Card Payment",G3:G166)</f>
        <v>0</v>
      </c>
    </row>
    <row r="14" spans="1:14" x14ac:dyDescent="0.25">
      <c r="G14" s="2"/>
    </row>
    <row r="15" spans="1:14" x14ac:dyDescent="0.25">
      <c r="G15" s="2"/>
      <c r="L15" s="3" t="s">
        <v>41</v>
      </c>
    </row>
    <row r="16" spans="1:14" x14ac:dyDescent="0.25">
      <c r="G16" s="2"/>
      <c r="L16" s="2">
        <f>N13-L13</f>
        <v>0</v>
      </c>
    </row>
    <row r="17" spans="7:14" x14ac:dyDescent="0.25">
      <c r="G17" s="2"/>
    </row>
    <row r="18" spans="7:14" x14ac:dyDescent="0.25">
      <c r="G18" s="2"/>
      <c r="L18" s="3" t="s">
        <v>48</v>
      </c>
    </row>
    <row r="19" spans="7:14" x14ac:dyDescent="0.25">
      <c r="G19" s="2"/>
      <c r="L19" s="2">
        <f>L10-L16</f>
        <v>0</v>
      </c>
    </row>
    <row r="20" spans="7:14" x14ac:dyDescent="0.25">
      <c r="G20" s="2"/>
    </row>
    <row r="21" spans="7:14" x14ac:dyDescent="0.25">
      <c r="G21" s="2"/>
      <c r="L21" s="4" t="s">
        <v>49</v>
      </c>
    </row>
    <row r="22" spans="7:14" x14ac:dyDescent="0.25">
      <c r="G22" s="2"/>
      <c r="L22" s="3" t="s">
        <v>44</v>
      </c>
      <c r="N22" s="3" t="s">
        <v>45</v>
      </c>
    </row>
    <row r="23" spans="7:14" x14ac:dyDescent="0.25">
      <c r="G23" s="2"/>
      <c r="L23" s="2">
        <v>2000</v>
      </c>
      <c r="N23" s="2">
        <v>10000</v>
      </c>
    </row>
    <row r="24" spans="7:14" x14ac:dyDescent="0.25">
      <c r="G24" s="2"/>
    </row>
    <row r="25" spans="7:14" x14ac:dyDescent="0.25">
      <c r="G25" s="2"/>
      <c r="L25" s="3" t="s">
        <v>46</v>
      </c>
      <c r="N25" s="3" t="s">
        <v>47</v>
      </c>
    </row>
    <row r="26" spans="7:14" x14ac:dyDescent="0.25">
      <c r="G26" s="2"/>
      <c r="L26" s="2">
        <f>(L23+(SUMIF(J3:J138,"Checking",G3:G138))-SUMIF(I3:I138,"Checking",G3:G138))</f>
        <v>2000</v>
      </c>
      <c r="N26" s="2">
        <f>(N23+(SUMIF(J3:J138,"Savings",G3:G138))-SUMIF(I3:I138,"Savings",G3:G138))</f>
        <v>10000</v>
      </c>
    </row>
    <row r="27" spans="7:14" x14ac:dyDescent="0.25">
      <c r="G27" s="2"/>
      <c r="L27" s="2"/>
      <c r="N27" s="2"/>
    </row>
    <row r="28" spans="7:14" x14ac:dyDescent="0.25">
      <c r="G28" s="2"/>
    </row>
    <row r="29" spans="7:14" x14ac:dyDescent="0.25">
      <c r="G29" s="2"/>
    </row>
    <row r="30" spans="7:14" x14ac:dyDescent="0.25">
      <c r="G30" s="2"/>
    </row>
    <row r="31" spans="7:14" x14ac:dyDescent="0.25">
      <c r="G31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F1B32-E3C8-49CD-A9F4-A892305B573B}">
  <sheetPr codeName="Sheet15"/>
  <dimension ref="A1:N31"/>
  <sheetViews>
    <sheetView workbookViewId="0">
      <selection activeCell="O30" sqref="O30"/>
    </sheetView>
  </sheetViews>
  <sheetFormatPr defaultRowHeight="15" x14ac:dyDescent="0.25"/>
  <cols>
    <col min="1" max="1" width="26.7109375" customWidth="1"/>
    <col min="2" max="2" width="4.28515625" customWidth="1"/>
    <col min="3" max="3" width="7.42578125" customWidth="1"/>
    <col min="4" max="4" width="5.28515625" customWidth="1"/>
    <col min="5" max="5" width="11.28515625" customWidth="1"/>
    <col min="6" max="6" width="6.42578125" customWidth="1"/>
    <col min="7" max="7" width="9.7109375" customWidth="1"/>
    <col min="9" max="9" width="11.85546875" customWidth="1"/>
    <col min="10" max="10" width="11.7109375" customWidth="1"/>
    <col min="12" max="12" width="10.5703125" bestFit="1" customWidth="1"/>
    <col min="13" max="13" width="11.7109375" customWidth="1"/>
    <col min="14" max="14" width="11.5703125" bestFit="1" customWidth="1"/>
  </cols>
  <sheetData>
    <row r="1" spans="1:14" ht="23.25" x14ac:dyDescent="0.35">
      <c r="A1" s="6" t="s">
        <v>58</v>
      </c>
    </row>
    <row r="2" spans="1:14" x14ac:dyDescent="0.25">
      <c r="A2" s="3" t="s">
        <v>19</v>
      </c>
      <c r="B2" s="3" t="s">
        <v>20</v>
      </c>
      <c r="C2" s="3" t="s">
        <v>28</v>
      </c>
      <c r="D2" s="3" t="s">
        <v>21</v>
      </c>
      <c r="E2" s="3" t="s">
        <v>22</v>
      </c>
      <c r="F2" s="3" t="s">
        <v>23</v>
      </c>
      <c r="G2" s="3" t="s">
        <v>24</v>
      </c>
      <c r="H2" s="3" t="s">
        <v>25</v>
      </c>
      <c r="I2" s="3" t="s">
        <v>26</v>
      </c>
      <c r="J2" s="3" t="s">
        <v>27</v>
      </c>
    </row>
    <row r="3" spans="1:14" x14ac:dyDescent="0.25">
      <c r="G3" s="2"/>
    </row>
    <row r="4" spans="1:14" x14ac:dyDescent="0.25">
      <c r="G4" s="2"/>
    </row>
    <row r="5" spans="1:14" x14ac:dyDescent="0.25">
      <c r="G5" s="2"/>
    </row>
    <row r="6" spans="1:14" x14ac:dyDescent="0.25">
      <c r="G6" s="2"/>
      <c r="L6" s="3" t="s">
        <v>38</v>
      </c>
      <c r="N6" s="3" t="s">
        <v>39</v>
      </c>
    </row>
    <row r="7" spans="1:14" x14ac:dyDescent="0.25">
      <c r="G7" s="2"/>
      <c r="L7" s="2">
        <f>SUMIF(E3:E86,"Out",G3:G86)</f>
        <v>0</v>
      </c>
      <c r="N7" s="2">
        <f>SUMIF(E3:E106,"In",G3:G106)</f>
        <v>0</v>
      </c>
    </row>
    <row r="8" spans="1:14" x14ac:dyDescent="0.25">
      <c r="G8" s="2"/>
    </row>
    <row r="9" spans="1:14" x14ac:dyDescent="0.25">
      <c r="G9" s="2"/>
      <c r="L9" s="3" t="s">
        <v>40</v>
      </c>
    </row>
    <row r="10" spans="1:14" x14ac:dyDescent="0.25">
      <c r="G10" s="2"/>
      <c r="L10" s="2">
        <f>N7-L7</f>
        <v>0</v>
      </c>
    </row>
    <row r="11" spans="1:14" x14ac:dyDescent="0.25">
      <c r="G11" s="2"/>
    </row>
    <row r="12" spans="1:14" x14ac:dyDescent="0.25">
      <c r="G12" s="2"/>
      <c r="L12" s="3" t="s">
        <v>43</v>
      </c>
      <c r="N12" s="3" t="s">
        <v>42</v>
      </c>
    </row>
    <row r="13" spans="1:14" x14ac:dyDescent="0.25">
      <c r="G13" s="2"/>
      <c r="L13" s="2">
        <f>SUMIF(E3:E80,"C",G3:G80)</f>
        <v>0</v>
      </c>
      <c r="N13" s="2">
        <f>SUMIF(A3:A166,"Credit Card Payment",G3:G166)</f>
        <v>0</v>
      </c>
    </row>
    <row r="14" spans="1:14" x14ac:dyDescent="0.25">
      <c r="G14" s="2"/>
    </row>
    <row r="15" spans="1:14" x14ac:dyDescent="0.25">
      <c r="G15" s="2"/>
      <c r="L15" s="3" t="s">
        <v>41</v>
      </c>
    </row>
    <row r="16" spans="1:14" x14ac:dyDescent="0.25">
      <c r="G16" s="2"/>
      <c r="L16" s="2">
        <f>N13-L13</f>
        <v>0</v>
      </c>
    </row>
    <row r="17" spans="7:14" x14ac:dyDescent="0.25">
      <c r="G17" s="2"/>
    </row>
    <row r="18" spans="7:14" x14ac:dyDescent="0.25">
      <c r="G18" s="2"/>
      <c r="L18" s="3" t="s">
        <v>48</v>
      </c>
    </row>
    <row r="19" spans="7:14" x14ac:dyDescent="0.25">
      <c r="G19" s="2"/>
      <c r="L19" s="2">
        <f>L10-L16</f>
        <v>0</v>
      </c>
    </row>
    <row r="20" spans="7:14" x14ac:dyDescent="0.25">
      <c r="G20" s="2"/>
    </row>
    <row r="21" spans="7:14" x14ac:dyDescent="0.25">
      <c r="G21" s="2"/>
      <c r="L21" s="4" t="s">
        <v>49</v>
      </c>
    </row>
    <row r="22" spans="7:14" x14ac:dyDescent="0.25">
      <c r="G22" s="2"/>
      <c r="L22" s="3" t="s">
        <v>44</v>
      </c>
      <c r="N22" s="3" t="s">
        <v>45</v>
      </c>
    </row>
    <row r="23" spans="7:14" x14ac:dyDescent="0.25">
      <c r="G23" s="2"/>
      <c r="L23" s="2">
        <v>2000</v>
      </c>
      <c r="N23" s="2">
        <v>10000</v>
      </c>
    </row>
    <row r="24" spans="7:14" x14ac:dyDescent="0.25">
      <c r="G24" s="2"/>
    </row>
    <row r="25" spans="7:14" x14ac:dyDescent="0.25">
      <c r="G25" s="2"/>
      <c r="L25" s="3" t="s">
        <v>46</v>
      </c>
      <c r="N25" s="3" t="s">
        <v>47</v>
      </c>
    </row>
    <row r="26" spans="7:14" x14ac:dyDescent="0.25">
      <c r="G26" s="2"/>
      <c r="L26" s="2">
        <f>(L23+(SUMIF(J3:J138,"Checking",G3:G138))-SUMIF(I3:I138,"Checking",G3:G138))</f>
        <v>2000</v>
      </c>
      <c r="N26" s="2">
        <f>(N23+(SUMIF(J3:J138,"Savings",G3:G138))-SUMIF(I3:I138,"Savings",G3:G138))</f>
        <v>10000</v>
      </c>
    </row>
    <row r="27" spans="7:14" x14ac:dyDescent="0.25">
      <c r="G27" s="2"/>
      <c r="L27" s="2"/>
      <c r="N27" s="2"/>
    </row>
    <row r="28" spans="7:14" x14ac:dyDescent="0.25">
      <c r="G28" s="2"/>
    </row>
    <row r="29" spans="7:14" x14ac:dyDescent="0.25">
      <c r="G29" s="2"/>
    </row>
    <row r="30" spans="7:14" x14ac:dyDescent="0.25">
      <c r="G30" s="2"/>
    </row>
    <row r="31" spans="7:14" x14ac:dyDescent="0.25">
      <c r="G3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Book</vt:lpstr>
      <vt:lpstr>Explanations</vt:lpstr>
      <vt:lpstr>Year Analysis</vt:lpstr>
      <vt:lpstr>Jan 2019</vt:lpstr>
      <vt:lpstr>Feb 2019</vt:lpstr>
      <vt:lpstr>March 2019</vt:lpstr>
      <vt:lpstr>April 2019</vt:lpstr>
      <vt:lpstr>May 2019</vt:lpstr>
      <vt:lpstr>June 2019</vt:lpstr>
      <vt:lpstr>July 2019</vt:lpstr>
      <vt:lpstr>Aug 2019</vt:lpstr>
      <vt:lpstr>Sep 2019</vt:lpstr>
      <vt:lpstr>Oct 2019</vt:lpstr>
      <vt:lpstr>Nov 2019</vt:lpstr>
      <vt:lpstr>Dec 2019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</cp:lastModifiedBy>
  <dcterms:created xsi:type="dcterms:W3CDTF">2018-11-01T21:44:38Z</dcterms:created>
  <dcterms:modified xsi:type="dcterms:W3CDTF">2018-12-08T18:03:03Z</dcterms:modified>
</cp:coreProperties>
</file>